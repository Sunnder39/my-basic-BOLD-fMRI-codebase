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sunnder\WM记忆论文\communications\dataset\"/>
    </mc:Choice>
  </mc:AlternateContent>
  <xr:revisionPtr revIDLastSave="0" documentId="13_ncr:1_{020EC961-DC8D-44A6-89B6-73E5AB539D3F}" xr6:coauthVersionLast="47" xr6:coauthVersionMax="47" xr10:uidLastSave="{00000000-0000-0000-0000-000000000000}"/>
  <bookViews>
    <workbookView xWindow="57480" yWindow="4125" windowWidth="29040" windowHeight="15840" activeTab="2" xr2:uid="{00000000-000D-0000-FFFF-FFFF00000000}"/>
  </bookViews>
  <sheets>
    <sheet name="BEHAVIOR" sheetId="1" r:id="rId1"/>
    <sheet name="SIGNAL CHANGE" sheetId="2" r:id="rId2"/>
    <sheet name="PEB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75" i="2" l="1"/>
  <c r="AJ75" i="2" s="1"/>
  <c r="AG75" i="2"/>
  <c r="AF75" i="2"/>
  <c r="AH74" i="2"/>
  <c r="AG74" i="2"/>
  <c r="AF74" i="2"/>
  <c r="AH73" i="2"/>
  <c r="AJ73" i="2" s="1"/>
  <c r="AG73" i="2"/>
  <c r="AF73" i="2"/>
  <c r="AH72" i="2"/>
  <c r="AG72" i="2"/>
  <c r="AF72" i="2"/>
  <c r="AH71" i="2"/>
  <c r="AJ71" i="2" s="1"/>
  <c r="AG71" i="2"/>
  <c r="AF71" i="2"/>
  <c r="AH70" i="2"/>
  <c r="AG70" i="2"/>
  <c r="AF70" i="2"/>
  <c r="AH69" i="2"/>
  <c r="AG69" i="2"/>
  <c r="AF69" i="2"/>
  <c r="AH68" i="2"/>
  <c r="AG68" i="2"/>
  <c r="AF68" i="2"/>
  <c r="AH67" i="2"/>
  <c r="AG67" i="2"/>
  <c r="AF67" i="2"/>
  <c r="AI67" i="2" s="1"/>
  <c r="AH66" i="2"/>
  <c r="AG66" i="2"/>
  <c r="AF66" i="2"/>
  <c r="AH65" i="2"/>
  <c r="AG65" i="2"/>
  <c r="AF65" i="2"/>
  <c r="AI65" i="2" s="1"/>
  <c r="AH64" i="2"/>
  <c r="AG64" i="2"/>
  <c r="AF64" i="2"/>
  <c r="AJ64" i="2" s="1"/>
  <c r="AH63" i="2"/>
  <c r="AJ63" i="2" s="1"/>
  <c r="AG63" i="2"/>
  <c r="AF63" i="2"/>
  <c r="AI63" i="2" s="1"/>
  <c r="AH62" i="2"/>
  <c r="AG62" i="2"/>
  <c r="AF62" i="2"/>
  <c r="AH61" i="2"/>
  <c r="AG61" i="2"/>
  <c r="AF61" i="2"/>
  <c r="AH60" i="2"/>
  <c r="AG60" i="2"/>
  <c r="AF60" i="2"/>
  <c r="AH59" i="2"/>
  <c r="AG59" i="2"/>
  <c r="AF59" i="2"/>
  <c r="AH58" i="2"/>
  <c r="AG58" i="2"/>
  <c r="AF58" i="2"/>
  <c r="AH57" i="2"/>
  <c r="AG57" i="2"/>
  <c r="AF57" i="2"/>
  <c r="AH56" i="2"/>
  <c r="AG56" i="2"/>
  <c r="AF56" i="2"/>
  <c r="AJ56" i="2" s="1"/>
  <c r="AH55" i="2"/>
  <c r="AJ55" i="2" s="1"/>
  <c r="AG55" i="2"/>
  <c r="AF55" i="2"/>
  <c r="AH54" i="2"/>
  <c r="AG54" i="2"/>
  <c r="AF54" i="2"/>
  <c r="AH53" i="2"/>
  <c r="AJ53" i="2" s="1"/>
  <c r="AG53" i="2"/>
  <c r="AF53" i="2"/>
  <c r="AH52" i="2"/>
  <c r="AG52" i="2"/>
  <c r="AF52" i="2"/>
  <c r="AH51" i="2"/>
  <c r="AJ51" i="2" s="1"/>
  <c r="AG51" i="2"/>
  <c r="AF51" i="2"/>
  <c r="AH50" i="2"/>
  <c r="AG50" i="2"/>
  <c r="AF50" i="2"/>
  <c r="AH49" i="2"/>
  <c r="AG49" i="2"/>
  <c r="AF49" i="2"/>
  <c r="AH48" i="2"/>
  <c r="AG48" i="2"/>
  <c r="AF48" i="2"/>
  <c r="AH47" i="2"/>
  <c r="AG47" i="2"/>
  <c r="AF47" i="2"/>
  <c r="AI47" i="2" s="1"/>
  <c r="AH46" i="2"/>
  <c r="AG46" i="2"/>
  <c r="AF46" i="2"/>
  <c r="AH45" i="2"/>
  <c r="AG45" i="2"/>
  <c r="AF45" i="2"/>
  <c r="AI45" i="2" s="1"/>
  <c r="AH44" i="2"/>
  <c r="AG44" i="2"/>
  <c r="AF44" i="2"/>
  <c r="AH43" i="2"/>
  <c r="AJ43" i="2" s="1"/>
  <c r="AG43" i="2"/>
  <c r="AF43" i="2"/>
  <c r="AI43" i="2" s="1"/>
  <c r="AH42" i="2"/>
  <c r="AG42" i="2"/>
  <c r="AF42" i="2"/>
  <c r="AH41" i="2"/>
  <c r="AG41" i="2"/>
  <c r="AF41" i="2"/>
  <c r="AH40" i="2"/>
  <c r="AG40" i="2"/>
  <c r="AF40" i="2"/>
  <c r="AH37" i="2"/>
  <c r="AG37" i="2"/>
  <c r="AF37" i="2"/>
  <c r="AH36" i="2"/>
  <c r="AG36" i="2"/>
  <c r="AF36" i="2"/>
  <c r="AH35" i="2"/>
  <c r="AG35" i="2"/>
  <c r="AF35" i="2"/>
  <c r="AH34" i="2"/>
  <c r="AG34" i="2"/>
  <c r="AF34" i="2"/>
  <c r="AJ34" i="2" s="1"/>
  <c r="AH33" i="2"/>
  <c r="AJ33" i="2" s="1"/>
  <c r="AG33" i="2"/>
  <c r="AF33" i="2"/>
  <c r="AH32" i="2"/>
  <c r="AG32" i="2"/>
  <c r="AF32" i="2"/>
  <c r="AH31" i="2"/>
  <c r="AJ31" i="2" s="1"/>
  <c r="AG31" i="2"/>
  <c r="AF31" i="2"/>
  <c r="AH30" i="2"/>
  <c r="AG30" i="2"/>
  <c r="AF30" i="2"/>
  <c r="AH29" i="2"/>
  <c r="AJ29" i="2" s="1"/>
  <c r="AG29" i="2"/>
  <c r="AF29" i="2"/>
  <c r="AH28" i="2"/>
  <c r="AG28" i="2"/>
  <c r="AF28" i="2"/>
  <c r="AH27" i="2"/>
  <c r="AG27" i="2"/>
  <c r="AF27" i="2"/>
  <c r="AH26" i="2"/>
  <c r="AG26" i="2"/>
  <c r="AF26" i="2"/>
  <c r="AH25" i="2"/>
  <c r="AG25" i="2"/>
  <c r="AF25" i="2"/>
  <c r="AI25" i="2" s="1"/>
  <c r="AH24" i="2"/>
  <c r="AG24" i="2"/>
  <c r="AF24" i="2"/>
  <c r="AH23" i="2"/>
  <c r="AG23" i="2"/>
  <c r="AF23" i="2"/>
  <c r="AI23" i="2" s="1"/>
  <c r="AH22" i="2"/>
  <c r="AG22" i="2"/>
  <c r="AF22" i="2"/>
  <c r="AJ22" i="2" s="1"/>
  <c r="AH21" i="2"/>
  <c r="AJ21" i="2" s="1"/>
  <c r="AG21" i="2"/>
  <c r="AF21" i="2"/>
  <c r="AH20" i="2"/>
  <c r="AG20" i="2"/>
  <c r="AF20" i="2"/>
  <c r="AH19" i="2"/>
  <c r="AG19" i="2"/>
  <c r="AF19" i="2"/>
  <c r="AH18" i="2"/>
  <c r="AG18" i="2"/>
  <c r="AF18" i="2"/>
  <c r="AH17" i="2"/>
  <c r="AG17" i="2"/>
  <c r="AF17" i="2"/>
  <c r="AI17" i="2" s="1"/>
  <c r="AH16" i="2"/>
  <c r="AG16" i="2"/>
  <c r="AF16" i="2"/>
  <c r="AH15" i="2"/>
  <c r="AG15" i="2"/>
  <c r="AF15" i="2"/>
  <c r="AH14" i="2"/>
  <c r="AG14" i="2"/>
  <c r="AF14" i="2"/>
  <c r="AJ14" i="2" s="1"/>
  <c r="AH13" i="2"/>
  <c r="AJ13" i="2" s="1"/>
  <c r="AG13" i="2"/>
  <c r="AF13" i="2"/>
  <c r="AH12" i="2"/>
  <c r="AG12" i="2"/>
  <c r="AF12" i="2"/>
  <c r="AH11" i="2"/>
  <c r="AJ11" i="2" s="1"/>
  <c r="AG11" i="2"/>
  <c r="AF11" i="2"/>
  <c r="AH10" i="2"/>
  <c r="AG10" i="2"/>
  <c r="AF10" i="2"/>
  <c r="AH9" i="2"/>
  <c r="AJ9" i="2" s="1"/>
  <c r="AG9" i="2"/>
  <c r="AF9" i="2"/>
  <c r="AH8" i="2"/>
  <c r="AG8" i="2"/>
  <c r="AF8" i="2"/>
  <c r="AH7" i="2"/>
  <c r="AJ7" i="2" s="1"/>
  <c r="AG7" i="2"/>
  <c r="AF7" i="2"/>
  <c r="AH6" i="2"/>
  <c r="AG6" i="2"/>
  <c r="AF6" i="2"/>
  <c r="AH5" i="2"/>
  <c r="AJ5" i="2" s="1"/>
  <c r="AG5" i="2"/>
  <c r="AF5" i="2"/>
  <c r="AH4" i="2"/>
  <c r="AG4" i="2"/>
  <c r="AF4" i="2"/>
  <c r="AH3" i="2"/>
  <c r="AJ3" i="2" s="1"/>
  <c r="AG3" i="2"/>
  <c r="AF3" i="2"/>
  <c r="AH2" i="2"/>
  <c r="AG2" i="2"/>
  <c r="AF2" i="2"/>
  <c r="I33" i="1"/>
  <c r="H33" i="1"/>
  <c r="G33" i="1"/>
  <c r="F33" i="1"/>
  <c r="E33" i="1"/>
  <c r="D33" i="1"/>
  <c r="C33" i="1"/>
  <c r="B33" i="1"/>
  <c r="I32" i="1"/>
  <c r="H32" i="1"/>
  <c r="G32" i="1"/>
  <c r="F32" i="1"/>
  <c r="E32" i="1"/>
  <c r="D32" i="1"/>
  <c r="C32" i="1"/>
  <c r="B32" i="1"/>
  <c r="AI21" i="2" l="1"/>
  <c r="AJ27" i="2"/>
  <c r="AJ49" i="2"/>
  <c r="AJ69" i="2"/>
  <c r="AJ8" i="2"/>
  <c r="AJ28" i="2"/>
  <c r="AJ50" i="2"/>
  <c r="AJ70" i="2"/>
  <c r="AI15" i="2"/>
  <c r="AI35" i="2"/>
  <c r="AI57" i="2"/>
  <c r="AJ2" i="2"/>
  <c r="AJ44" i="2"/>
  <c r="AI9" i="2"/>
  <c r="AJ15" i="2"/>
  <c r="AI29" i="2"/>
  <c r="AJ35" i="2"/>
  <c r="AI51" i="2"/>
  <c r="AJ57" i="2"/>
  <c r="AI71" i="2"/>
  <c r="AJ16" i="2"/>
  <c r="AJ36" i="2"/>
  <c r="AJ58" i="2"/>
  <c r="AI7" i="2"/>
  <c r="AI3" i="2"/>
  <c r="AJ10" i="2"/>
  <c r="AJ30" i="2"/>
  <c r="AJ52" i="2"/>
  <c r="AJ72" i="2"/>
  <c r="AJ23" i="2"/>
  <c r="AI37" i="2"/>
  <c r="AJ45" i="2"/>
  <c r="AI59" i="2"/>
  <c r="AJ65" i="2"/>
  <c r="AJ4" i="2"/>
  <c r="AJ24" i="2"/>
  <c r="AJ46" i="2"/>
  <c r="AJ66" i="2"/>
  <c r="AI11" i="2"/>
  <c r="AJ17" i="2"/>
  <c r="AI31" i="2"/>
  <c r="AJ37" i="2"/>
  <c r="AI53" i="2"/>
  <c r="AJ59" i="2"/>
  <c r="AI73" i="2"/>
  <c r="AJ18" i="2"/>
  <c r="AJ40" i="2"/>
  <c r="AJ60" i="2"/>
  <c r="AI5" i="2"/>
  <c r="AJ12" i="2"/>
  <c r="AJ32" i="2"/>
  <c r="AJ54" i="2"/>
  <c r="AJ74" i="2"/>
  <c r="AI19" i="2"/>
  <c r="AJ25" i="2"/>
  <c r="AI41" i="2"/>
  <c r="AJ47" i="2"/>
  <c r="AI61" i="2"/>
  <c r="AJ67" i="2"/>
  <c r="AJ26" i="2"/>
  <c r="AJ48" i="2"/>
  <c r="AJ68" i="2"/>
  <c r="AJ6" i="2"/>
  <c r="AI13" i="2"/>
  <c r="AJ19" i="2"/>
  <c r="AI33" i="2"/>
  <c r="AJ41" i="2"/>
  <c r="AI55" i="2"/>
  <c r="AJ61" i="2"/>
  <c r="AI75" i="2"/>
  <c r="AJ20" i="2"/>
  <c r="AJ42" i="2"/>
  <c r="AJ62" i="2"/>
  <c r="AI27" i="2"/>
  <c r="AI49" i="2"/>
  <c r="AI69" i="2"/>
  <c r="AI2" i="2"/>
  <c r="AI6" i="2"/>
  <c r="AI10" i="2"/>
  <c r="AI14" i="2"/>
  <c r="AI18" i="2"/>
  <c r="AI22" i="2"/>
  <c r="AI26" i="2"/>
  <c r="AI30" i="2"/>
  <c r="AI34" i="2"/>
  <c r="AI40" i="2"/>
  <c r="AI44" i="2"/>
  <c r="AI48" i="2"/>
  <c r="AI52" i="2"/>
  <c r="AI56" i="2"/>
  <c r="AI60" i="2"/>
  <c r="AI64" i="2"/>
  <c r="AI68" i="2"/>
  <c r="AI72" i="2"/>
  <c r="AI4" i="2"/>
  <c r="AI8" i="2"/>
  <c r="AI12" i="2"/>
  <c r="AI16" i="2"/>
  <c r="AI20" i="2"/>
  <c r="AI24" i="2"/>
  <c r="AI28" i="2"/>
  <c r="AI32" i="2"/>
  <c r="AI36" i="2"/>
  <c r="AI42" i="2"/>
  <c r="AI46" i="2"/>
  <c r="AI50" i="2"/>
  <c r="AI54" i="2"/>
  <c r="AI58" i="2"/>
  <c r="AI62" i="2"/>
  <c r="AI66" i="2"/>
  <c r="AI70" i="2"/>
  <c r="AI74" i="2"/>
</calcChain>
</file>

<file path=xl/sharedStrings.xml><?xml version="1.0" encoding="utf-8"?>
<sst xmlns="http://schemas.openxmlformats.org/spreadsheetml/2006/main" count="242" uniqueCount="134">
  <si>
    <t>SUBJECT</t>
    <phoneticPr fontId="2" type="noConversion"/>
  </si>
  <si>
    <t>ORDER</t>
  </si>
  <si>
    <t>REPEAT</t>
    <phoneticPr fontId="2" type="noConversion"/>
  </si>
  <si>
    <t>ORDER</t>
    <phoneticPr fontId="2" type="noConversion"/>
  </si>
  <si>
    <t>NONRES</t>
    <phoneticPr fontId="2" type="noConversion"/>
  </si>
  <si>
    <t>ACC</t>
    <phoneticPr fontId="2" type="noConversion"/>
  </si>
  <si>
    <t>RT</t>
    <phoneticPr fontId="2" type="noConversion"/>
  </si>
  <si>
    <t>AVG</t>
    <phoneticPr fontId="2" type="noConversion"/>
  </si>
  <si>
    <t>SD</t>
    <phoneticPr fontId="2" type="noConversion"/>
  </si>
  <si>
    <t>Confidence Interval</t>
  </si>
  <si>
    <t>SESSION 1</t>
    <phoneticPr fontId="2" type="noConversion"/>
  </si>
  <si>
    <t>PERIOD</t>
    <phoneticPr fontId="2" type="noConversion"/>
  </si>
  <si>
    <t>TR\SUBJECT</t>
    <phoneticPr fontId="2" type="noConversion"/>
  </si>
  <si>
    <t>AVG</t>
    <phoneticPr fontId="4" type="noConversion"/>
  </si>
  <si>
    <t>SD</t>
    <phoneticPr fontId="4" type="noConversion"/>
  </si>
  <si>
    <t>t</t>
    <phoneticPr fontId="4" type="noConversion"/>
  </si>
  <si>
    <t>Lower bound</t>
    <phoneticPr fontId="4" type="noConversion"/>
  </si>
  <si>
    <t xml:space="preserve"> Upper bound</t>
    <phoneticPr fontId="4" type="noConversion"/>
  </si>
  <si>
    <t>ENCODING</t>
    <phoneticPr fontId="2" type="noConversion"/>
  </si>
  <si>
    <t>DELAY</t>
    <phoneticPr fontId="2" type="noConversion"/>
  </si>
  <si>
    <t>RETRIEVAL</t>
    <phoneticPr fontId="2" type="noConversion"/>
  </si>
  <si>
    <t>Baseline Signal</t>
    <phoneticPr fontId="2" type="noConversion"/>
  </si>
  <si>
    <t>SESSION 2</t>
    <phoneticPr fontId="2" type="noConversion"/>
  </si>
  <si>
    <t>Second-level effect - Commonalities</t>
    <phoneticPr fontId="2" type="noConversion"/>
  </si>
  <si>
    <t>NUMBER</t>
    <phoneticPr fontId="2" type="noConversion"/>
  </si>
  <si>
    <t>MATRIX VALUE OF DCMS</t>
    <phoneticPr fontId="2" type="noConversion"/>
  </si>
  <si>
    <t>MATRIX A</t>
    <phoneticPr fontId="2" type="noConversion"/>
  </si>
  <si>
    <t>DCM.a = [1 1 1; 1 1 1; 1 1 1]</t>
  </si>
  <si>
    <t xml:space="preserve"> From→ 
To↓</t>
    <phoneticPr fontId="2" type="noConversion"/>
  </si>
  <si>
    <t>Session 1</t>
    <phoneticPr fontId="2" type="noConversion"/>
  </si>
  <si>
    <t>Session 2</t>
  </si>
  <si>
    <t>DCM.b = zeros(3,3,1)</t>
    <phoneticPr fontId="2" type="noConversion"/>
  </si>
  <si>
    <t>SI</t>
  </si>
  <si>
    <t>PPC</t>
  </si>
  <si>
    <t>dlPFC</t>
  </si>
  <si>
    <t>DCM.c = [1;0;0]</t>
    <phoneticPr fontId="2" type="noConversion"/>
  </si>
  <si>
    <t>Ep</t>
  </si>
  <si>
    <t>Pp</t>
  </si>
  <si>
    <t>DCM.d = zeros(3,3,0)</t>
    <phoneticPr fontId="2" type="noConversion"/>
  </si>
  <si>
    <t>SI</t>
    <phoneticPr fontId="2" type="noConversion"/>
  </si>
  <si>
    <t>1.00*</t>
  </si>
  <si>
    <t>0.019</t>
    <phoneticPr fontId="2" type="noConversion"/>
  </si>
  <si>
    <t>0.85</t>
    <phoneticPr fontId="2" type="noConversion"/>
  </si>
  <si>
    <t>-0.265</t>
    <phoneticPr fontId="2" type="noConversion"/>
  </si>
  <si>
    <t>-0.835</t>
    <phoneticPr fontId="2" type="noConversion"/>
  </si>
  <si>
    <t>0.079</t>
    <phoneticPr fontId="2" type="noConversion"/>
  </si>
  <si>
    <t>0.88</t>
  </si>
  <si>
    <t>0.416</t>
    <phoneticPr fontId="2" type="noConversion"/>
  </si>
  <si>
    <t>0.058</t>
    <phoneticPr fontId="2" type="noConversion"/>
  </si>
  <si>
    <t>0.98*</t>
  </si>
  <si>
    <t>-0.495</t>
    <phoneticPr fontId="2" type="noConversion"/>
  </si>
  <si>
    <t>0.273</t>
    <phoneticPr fontId="2" type="noConversion"/>
  </si>
  <si>
    <t>0.002</t>
    <phoneticPr fontId="2" type="noConversion"/>
  </si>
  <si>
    <t>0.05</t>
    <phoneticPr fontId="2" type="noConversion"/>
  </si>
  <si>
    <t>-0.518</t>
    <phoneticPr fontId="2" type="noConversion"/>
  </si>
  <si>
    <t>1.00*</t>
    <phoneticPr fontId="2" type="noConversion"/>
  </si>
  <si>
    <t>0.057</t>
    <phoneticPr fontId="2" type="noConversion"/>
  </si>
  <si>
    <t>0.99*</t>
  </si>
  <si>
    <t>DCM.b(:,:,1)=[1 1 0;0 1 0;0 0 1]</t>
  </si>
  <si>
    <t>0.331</t>
    <phoneticPr fontId="2" type="noConversion"/>
  </si>
  <si>
    <t>-0.091</t>
    <phoneticPr fontId="2" type="noConversion"/>
  </si>
  <si>
    <t>-0.545</t>
    <phoneticPr fontId="2" type="noConversion"/>
  </si>
  <si>
    <t>0.059</t>
    <phoneticPr fontId="2" type="noConversion"/>
  </si>
  <si>
    <t>0.81</t>
    <phoneticPr fontId="2" type="noConversion"/>
  </si>
  <si>
    <t>0.138</t>
    <phoneticPr fontId="2" type="noConversion"/>
  </si>
  <si>
    <t>-0.710</t>
    <phoneticPr fontId="2" type="noConversion"/>
  </si>
  <si>
    <t>DCM.b(:,:,1)=[1 1 1;0 1 0;0 0 1]</t>
  </si>
  <si>
    <t>DCM.b(:,:,1)=[1 1 1;0 1 0;0 1 1]</t>
  </si>
  <si>
    <t>MATRIX B</t>
    <phoneticPr fontId="2" type="noConversion"/>
  </si>
  <si>
    <t>DCM.b(:,:,1)=[1 1 1;0 1 0;1 0 1]</t>
  </si>
  <si>
    <t>DCM.b(:,:,1)=[1 1 1;0 1 0;1 1 1]</t>
  </si>
  <si>
    <t>HIFRE</t>
    <phoneticPr fontId="2" type="noConversion"/>
  </si>
  <si>
    <t>DCM.b(:,:,1)=[1 1 1;0 1 1;0 0 1]</t>
  </si>
  <si>
    <t>DCM.b(:,:,1)=[1 1 1;0 1 1;0 1 1]</t>
  </si>
  <si>
    <t>SI → PPC</t>
  </si>
  <si>
    <t>-</t>
  </si>
  <si>
    <t>DCM.b(:,:,1)=[1 1 1;0 1 1;1 0 1]</t>
  </si>
  <si>
    <t>SI → dlPFC</t>
  </si>
  <si>
    <t>DCM.b(:,:,1)=[1 1 1;0 1 1;1 1 1]</t>
  </si>
  <si>
    <t>dlPFC → SI</t>
  </si>
  <si>
    <t>0.96*</t>
  </si>
  <si>
    <t>0.97*</t>
  </si>
  <si>
    <t>DCM.b(:,:,1)=[1 1 1;1 1 0;0 0 1]</t>
  </si>
  <si>
    <t>dlPFC → PPC</t>
  </si>
  <si>
    <t>DCM.b(:,:,1)=[1 1 1;1 1 0;0 1 1]</t>
  </si>
  <si>
    <t>PPC → SI</t>
  </si>
  <si>
    <t>DCM.b(:,:,1)=[1 1 1;1 1 0;1 0 1]</t>
  </si>
  <si>
    <t>PPC → dlPFC</t>
  </si>
  <si>
    <t>-</t>
    <phoneticPr fontId="2" type="noConversion"/>
  </si>
  <si>
    <t>DCM.b(:,:,1)=[1 1 1;1 1 0;1 1 1]</t>
  </si>
  <si>
    <t>DCM.b(:,:,1)=[1 1 1;1 1 1;0 0 1]</t>
  </si>
  <si>
    <t>DCM.b(:,:,1)=[1 1 1;1 1 1;0 1 1]</t>
  </si>
  <si>
    <t>DCM.b(:,:,1)=[1 1 1;1 1 1;1 0 1]</t>
  </si>
  <si>
    <t>DCM.b(:,:,1)=[1 1 1;1 1 1;1 1 1]</t>
  </si>
  <si>
    <t>DCM.b(:,:,1)=[1 1 0;1 1 0;0 0 1]</t>
  </si>
  <si>
    <t>DCM.b(:,:,1)=[1 1 0;1 1 0;0 1 1]</t>
  </si>
  <si>
    <t>DCM.b(:,:,1)=[1 1 0;1 1 0;1 0 1]</t>
  </si>
  <si>
    <t>DCM.b(:,:,1)=[1 1 0;1 1 0;1 1 1]</t>
  </si>
  <si>
    <t>DCM.b(:,:,1)=[1 1 0;1 1 1;0 0 1]</t>
  </si>
  <si>
    <t>DCM.b(:,:,1)=[1 1 0;1 1 1;0 1 1]</t>
  </si>
  <si>
    <t>DCM.b(:,:,1)=[1 1 0;1 1 1;1 0 1]</t>
  </si>
  <si>
    <t>DCM.b(:,:,1)=[1 1 0;1 1 1;1 1 1]</t>
  </si>
  <si>
    <t>DCM.b(:,:,1)=[1 1 0;0 1 1;0 0 1]</t>
  </si>
  <si>
    <t>DCM.b(:,:,1)=[1 1 0;0 1 1;0 1 1]</t>
  </si>
  <si>
    <t>DCM.b(:,:,1)=[1 1 0;0 1 1;1 0 1]</t>
  </si>
  <si>
    <t>DCM.b(:,:,1)=[1 1 0;0 1 1;1 1 1]</t>
  </si>
  <si>
    <t>DCM.b(:,:,1)=[1 1 0;0 1 0;1 0 1]</t>
  </si>
  <si>
    <t>DCM.b(:,:,1)=[1 1 0;0 1 0;1 1 1]</t>
  </si>
  <si>
    <t>DCM.b(:,:,1)=[1 1 0;0 1 0;0 1 1]</t>
  </si>
  <si>
    <t>DCM.b(:,:,1)=[1 0 1;0 1 0;0 0 1]</t>
  </si>
  <si>
    <t>DCM.b(:,:,1)=[1 0 1;1 1 0;0 0 1]</t>
  </si>
  <si>
    <t>DCM.b(:,:,1)=[1 0 1;1 1 1;0 0 1]</t>
  </si>
  <si>
    <t>DCM.b(:,:,1)=[1 0 1;1 1 1;1 0 1]</t>
  </si>
  <si>
    <t>DCM.b(:,:,1)=[1 0 1;1 1 1;1 1 1]</t>
  </si>
  <si>
    <t>DCM.b(:,:,1)=[1 0 1;1 1 1;0 1 1]</t>
  </si>
  <si>
    <t>DCM.b(:,:,1)=[1 0 1;1 1 0;1 0 1]</t>
  </si>
  <si>
    <t>DCM.b(:,:,1)=[1 0 1;1 1 0;1 1 1]</t>
  </si>
  <si>
    <t>DCM.b(:,:,1)=[1 0 1;1 1 0;0 1 1]</t>
  </si>
  <si>
    <t>DCM.b(:,:,1)=[1 0 1;0 1 1;0 0 1]</t>
  </si>
  <si>
    <t>DCM.b(:,:,1)=[1 0 1;0 1 1;0 1 1]</t>
  </si>
  <si>
    <t>DCM.b(:,:,1)=[1 0 1;0 1 1;1 0 1]</t>
  </si>
  <si>
    <t>DCM.b(:,:,1)=[1 0 1;0 1 1;1 1 1]</t>
  </si>
  <si>
    <t>DCM.b(:,:,1)=[1 0 1;0 1 0;1 0 1]</t>
  </si>
  <si>
    <t>DCM.b(:,:,1)=[1 0 1;0 1 0;1 1 1]</t>
  </si>
  <si>
    <t>DCM.b(:,:,1)=[1 0 1;0 1 0;0 1 1]</t>
  </si>
  <si>
    <t>DCM.b(:,:,1)=[1 0 0;1 1 0;0 0 1]</t>
  </si>
  <si>
    <t>DCM.b(:,:,1)=[1 0 0;1 1 1;0 0 1]</t>
  </si>
  <si>
    <t>DCM.b(:,:,1)=[1 0 0;1 1 1;1 0 1]</t>
  </si>
  <si>
    <t>DCM.b(:,:,1)=[1 0 0;1 1 1;1 1 1]</t>
  </si>
  <si>
    <t>DCM.b(:,:,1)=[1 0 0;1 1 1;0 1 1]</t>
  </si>
  <si>
    <t>DCM.b(:,:,1)=[1 0 0;1 1 0;1 0 1]</t>
  </si>
  <si>
    <t>DCM.b(:,:,1)=[1 0 0;1 1 0;1 1 1]</t>
  </si>
  <si>
    <t>DCM.b(:,:,1)=[1 0 0;0 1 0;0 1 1]</t>
  </si>
  <si>
    <t>DCM.b(:,:,1)=[1 0 0;0 1 0;0 0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</si>
</sst>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theme="3"/>
      <name val="等线"/>
      <family val="3"/>
      <charset val="134"/>
      <scheme val="minor"/>
    </font>
    <font>
      <b/>
      <sz val="11"/>
      <color theme="9" tint="-0.499984740745262"/>
      <name val="等线"/>
      <family val="3"/>
      <charset val="134"/>
      <scheme val="minor"/>
    </font>
    <font>
      <sz val="11"/>
      <color theme="9" tint="-0.499984740745262"/>
      <name val="等线"/>
      <family val="3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FF7"/>
        <bgColor indexed="64"/>
      </patternFill>
    </fill>
    <fill>
      <patternFill patternType="solid">
        <fgColor rgb="FFFFE1F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10" fillId="4" borderId="0" xfId="0" applyFont="1" applyFill="1"/>
    <xf numFmtId="0" fontId="9" fillId="4" borderId="15" xfId="0" applyFont="1" applyFill="1" applyBorder="1"/>
    <xf numFmtId="0" fontId="9" fillId="4" borderId="17" xfId="0" applyFont="1" applyFill="1" applyBorder="1"/>
    <xf numFmtId="0" fontId="9" fillId="4" borderId="5" xfId="0" applyFont="1" applyFill="1" applyBorder="1"/>
    <xf numFmtId="0" fontId="9" fillId="4" borderId="34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8" xfId="1" applyFont="1" applyFill="1" applyBorder="1" applyAlignment="1">
      <alignment horizontal="center" vertical="center"/>
    </xf>
    <xf numFmtId="0" fontId="10" fillId="4" borderId="0" xfId="1" applyFont="1" applyFill="1" applyBorder="1" applyAlignment="1"/>
    <xf numFmtId="0" fontId="9" fillId="4" borderId="15" xfId="1" applyFont="1" applyFill="1" applyBorder="1" applyAlignment="1"/>
    <xf numFmtId="0" fontId="9" fillId="4" borderId="17" xfId="1" applyFont="1" applyFill="1" applyBorder="1" applyAlignment="1"/>
    <xf numFmtId="0" fontId="9" fillId="4" borderId="5" xfId="1" applyFont="1" applyFill="1" applyBorder="1" applyAlignment="1"/>
    <xf numFmtId="0" fontId="9" fillId="4" borderId="12" xfId="0" applyFont="1" applyFill="1" applyBorder="1" applyAlignment="1">
      <alignment horizontal="center" vertical="center"/>
    </xf>
    <xf numFmtId="0" fontId="10" fillId="4" borderId="21" xfId="0" applyFont="1" applyFill="1" applyBorder="1"/>
    <xf numFmtId="0" fontId="9" fillId="4" borderId="19" xfId="0" applyFont="1" applyFill="1" applyBorder="1"/>
    <xf numFmtId="0" fontId="9" fillId="4" borderId="22" xfId="0" applyFont="1" applyFill="1" applyBorder="1"/>
    <xf numFmtId="0" fontId="11" fillId="6" borderId="37" xfId="0" applyFont="1" applyFill="1" applyBorder="1" applyAlignment="1">
      <alignment horizontal="center" vertical="center"/>
    </xf>
    <xf numFmtId="0" fontId="12" fillId="6" borderId="0" xfId="0" applyFont="1" applyFill="1"/>
    <xf numFmtId="0" fontId="11" fillId="6" borderId="15" xfId="0" applyFont="1" applyFill="1" applyBorder="1"/>
    <xf numFmtId="0" fontId="11" fillId="6" borderId="17" xfId="0" applyFont="1" applyFill="1" applyBorder="1"/>
    <xf numFmtId="0" fontId="11" fillId="6" borderId="10" xfId="0" applyFont="1" applyFill="1" applyBorder="1"/>
    <xf numFmtId="0" fontId="11" fillId="6" borderId="0" xfId="0" applyFont="1" applyFill="1"/>
    <xf numFmtId="0" fontId="11" fillId="6" borderId="34" xfId="0" applyFont="1" applyFill="1" applyBorder="1" applyAlignment="1">
      <alignment horizontal="center" vertical="center"/>
    </xf>
    <xf numFmtId="0" fontId="11" fillId="6" borderId="5" xfId="0" applyFont="1" applyFill="1" applyBorder="1"/>
    <xf numFmtId="0" fontId="11" fillId="6" borderId="12" xfId="0" applyFont="1" applyFill="1" applyBorder="1" applyAlignment="1">
      <alignment horizontal="center" vertical="center"/>
    </xf>
    <xf numFmtId="0" fontId="12" fillId="6" borderId="21" xfId="0" applyFont="1" applyFill="1" applyBorder="1"/>
    <xf numFmtId="0" fontId="11" fillId="6" borderId="19" xfId="0" applyFont="1" applyFill="1" applyBorder="1"/>
    <xf numFmtId="0" fontId="11" fillId="6" borderId="22" xfId="0" applyFont="1" applyFill="1" applyBorder="1"/>
    <xf numFmtId="0" fontId="11" fillId="6" borderId="21" xfId="0" applyFont="1" applyFill="1" applyBorder="1"/>
    <xf numFmtId="0" fontId="11" fillId="6" borderId="1" xfId="0" applyFont="1" applyFill="1" applyBorder="1"/>
    <xf numFmtId="0" fontId="3" fillId="0" borderId="4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14" fillId="0" borderId="47" xfId="0" applyNumberFormat="1" applyFont="1" applyBorder="1" applyAlignment="1">
      <alignment horizontal="center" vertical="center"/>
    </xf>
    <xf numFmtId="49" fontId="14" fillId="0" borderId="31" xfId="0" applyNumberFormat="1" applyFont="1" applyBorder="1" applyAlignment="1">
      <alignment horizontal="center" vertical="center"/>
    </xf>
    <xf numFmtId="49" fontId="14" fillId="0" borderId="48" xfId="0" applyNumberFormat="1" applyFont="1" applyBorder="1" applyAlignment="1">
      <alignment horizontal="center" vertical="center"/>
    </xf>
    <xf numFmtId="49" fontId="14" fillId="0" borderId="49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34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4" fillId="0" borderId="52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0" fillId="4" borderId="60" xfId="0" applyFill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0" fillId="7" borderId="59" xfId="0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5" fillId="4" borderId="28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11" fillId="6" borderId="36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colors>
    <mruColors>
      <color rgb="FFFFE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workbookViewId="0">
      <selection activeCell="B1" sqref="A1:XFD1"/>
    </sheetView>
  </sheetViews>
  <sheetFormatPr defaultRowHeight="13.9" x14ac:dyDescent="0.4"/>
  <sheetData>
    <row r="1" spans="1:10" ht="19.899999999999999" customHeight="1" x14ac:dyDescent="0.4">
      <c r="A1" s="151" t="s">
        <v>0</v>
      </c>
      <c r="B1" s="154" t="s">
        <v>10</v>
      </c>
      <c r="C1" s="155"/>
      <c r="D1" s="155"/>
      <c r="E1" s="156"/>
      <c r="F1" s="154" t="s">
        <v>22</v>
      </c>
      <c r="G1" s="155"/>
      <c r="H1" s="155"/>
      <c r="I1" s="156"/>
      <c r="J1" s="1"/>
    </row>
    <row r="2" spans="1:10" ht="17.649999999999999" customHeight="1" x14ac:dyDescent="0.4">
      <c r="A2" s="152"/>
      <c r="B2" s="157" t="s">
        <v>1</v>
      </c>
      <c r="C2" s="158"/>
      <c r="D2" s="159" t="s">
        <v>2</v>
      </c>
      <c r="E2" s="160"/>
      <c r="F2" s="157" t="s">
        <v>3</v>
      </c>
      <c r="G2" s="158"/>
      <c r="H2" s="161" t="s">
        <v>4</v>
      </c>
      <c r="I2" s="162"/>
      <c r="J2" s="1"/>
    </row>
    <row r="3" spans="1:10" ht="20.25" customHeight="1" thickBot="1" x14ac:dyDescent="0.45">
      <c r="A3" s="153"/>
      <c r="B3" s="144" t="s">
        <v>5</v>
      </c>
      <c r="C3" s="145" t="s">
        <v>6</v>
      </c>
      <c r="D3" s="146" t="s">
        <v>5</v>
      </c>
      <c r="E3" s="147" t="s">
        <v>6</v>
      </c>
      <c r="F3" s="148" t="s">
        <v>5</v>
      </c>
      <c r="G3" s="145" t="s">
        <v>6</v>
      </c>
      <c r="H3" s="149" t="s">
        <v>5</v>
      </c>
      <c r="I3" s="150" t="s">
        <v>6</v>
      </c>
    </row>
    <row r="4" spans="1:10" x14ac:dyDescent="0.4">
      <c r="A4" s="132">
        <v>1</v>
      </c>
      <c r="B4" s="118">
        <v>0.8</v>
      </c>
      <c r="C4" s="119">
        <v>2.7896000000000001</v>
      </c>
      <c r="D4" s="123">
        <v>0.93</v>
      </c>
      <c r="E4" s="124">
        <v>2.1230000000000002</v>
      </c>
      <c r="F4" s="127">
        <v>0.73299999999999998</v>
      </c>
      <c r="G4" s="119">
        <v>2.7995999999999999</v>
      </c>
      <c r="H4" s="128">
        <v>0.93</v>
      </c>
      <c r="I4" s="129">
        <v>0.95799999999999996</v>
      </c>
    </row>
    <row r="5" spans="1:10" x14ac:dyDescent="0.4">
      <c r="A5" s="133">
        <v>2</v>
      </c>
      <c r="B5" s="118">
        <v>0.86699999999999999</v>
      </c>
      <c r="C5" s="120">
        <v>2.1432699999999998</v>
      </c>
      <c r="D5" s="123">
        <v>1</v>
      </c>
      <c r="E5" s="124">
        <v>1.7629999999999999</v>
      </c>
      <c r="F5" s="127">
        <v>1</v>
      </c>
      <c r="G5" s="120">
        <v>1.8511299999999999</v>
      </c>
      <c r="H5" s="128">
        <v>1</v>
      </c>
      <c r="I5" s="129">
        <v>0.83899999999999997</v>
      </c>
    </row>
    <row r="6" spans="1:10" x14ac:dyDescent="0.4">
      <c r="A6" s="133">
        <v>3</v>
      </c>
      <c r="B6" s="118">
        <v>0.8</v>
      </c>
      <c r="C6" s="120">
        <v>2.6180699999999999</v>
      </c>
      <c r="D6" s="123">
        <v>1</v>
      </c>
      <c r="E6" s="124">
        <v>2.2719999999999998</v>
      </c>
      <c r="F6" s="127">
        <v>0.86699999999999999</v>
      </c>
      <c r="G6" s="120">
        <v>2.5180699999999998</v>
      </c>
      <c r="H6" s="128">
        <v>1</v>
      </c>
      <c r="I6" s="129">
        <v>1.3089999999999999</v>
      </c>
    </row>
    <row r="7" spans="1:10" x14ac:dyDescent="0.4">
      <c r="A7" s="133">
        <v>4</v>
      </c>
      <c r="B7" s="118">
        <v>0.93300000000000005</v>
      </c>
      <c r="C7" s="120">
        <v>2.3961299999999999</v>
      </c>
      <c r="D7" s="123">
        <v>0.93</v>
      </c>
      <c r="E7" s="124">
        <v>1.9450000000000001</v>
      </c>
      <c r="F7" s="127">
        <v>0.8</v>
      </c>
      <c r="G7" s="120">
        <v>2.46333</v>
      </c>
      <c r="H7" s="128">
        <v>1</v>
      </c>
      <c r="I7" s="129">
        <v>1.111</v>
      </c>
    </row>
    <row r="8" spans="1:10" x14ac:dyDescent="0.4">
      <c r="A8" s="133">
        <v>5</v>
      </c>
      <c r="B8" s="118">
        <v>0.73299999999999998</v>
      </c>
      <c r="C8" s="120">
        <v>2.375</v>
      </c>
      <c r="D8" s="123">
        <v>0.93</v>
      </c>
      <c r="E8" s="124">
        <v>2.1619999999999999</v>
      </c>
      <c r="F8" s="127">
        <v>0.66700000000000004</v>
      </c>
      <c r="G8" s="120">
        <v>2.6970000000000001</v>
      </c>
      <c r="H8" s="128">
        <v>1</v>
      </c>
      <c r="I8" s="129">
        <v>0.99199999999999999</v>
      </c>
    </row>
    <row r="9" spans="1:10" x14ac:dyDescent="0.4">
      <c r="A9" s="133">
        <v>6</v>
      </c>
      <c r="B9" s="118">
        <v>0.73299999999999998</v>
      </c>
      <c r="C9" s="120">
        <v>2.4956</v>
      </c>
      <c r="D9" s="123">
        <v>0.87</v>
      </c>
      <c r="E9" s="124">
        <v>1.899</v>
      </c>
      <c r="F9" s="127">
        <v>0.93300000000000005</v>
      </c>
      <c r="G9" s="120">
        <v>2.5246</v>
      </c>
      <c r="H9" s="128">
        <v>1</v>
      </c>
      <c r="I9" s="129">
        <v>0.874</v>
      </c>
    </row>
    <row r="10" spans="1:10" x14ac:dyDescent="0.4">
      <c r="A10" s="133">
        <v>7</v>
      </c>
      <c r="B10" s="118">
        <v>0.86699999999999999</v>
      </c>
      <c r="C10" s="120">
        <v>2.4883299999999999</v>
      </c>
      <c r="D10" s="123">
        <v>1</v>
      </c>
      <c r="E10" s="124">
        <v>2.028</v>
      </c>
      <c r="F10" s="127">
        <v>0.8</v>
      </c>
      <c r="G10" s="120">
        <v>2.2612000000000001</v>
      </c>
      <c r="H10" s="128">
        <v>1</v>
      </c>
      <c r="I10" s="129">
        <v>0.84099999999999997</v>
      </c>
    </row>
    <row r="11" spans="1:10" x14ac:dyDescent="0.4">
      <c r="A11" s="133">
        <v>8</v>
      </c>
      <c r="B11" s="118">
        <v>0.66700000000000004</v>
      </c>
      <c r="C11" s="120">
        <v>3.1059299999999999</v>
      </c>
      <c r="D11" s="123">
        <v>0.87</v>
      </c>
      <c r="E11" s="124">
        <v>2.2269999999999999</v>
      </c>
      <c r="F11" s="127">
        <v>0.8</v>
      </c>
      <c r="G11" s="120">
        <v>3.2833999999999999</v>
      </c>
      <c r="H11" s="128">
        <v>0.93</v>
      </c>
      <c r="I11" s="129">
        <v>1.8580000000000001</v>
      </c>
    </row>
    <row r="12" spans="1:10" x14ac:dyDescent="0.4">
      <c r="A12" s="133">
        <v>9</v>
      </c>
      <c r="B12" s="118">
        <v>1</v>
      </c>
      <c r="C12" s="120">
        <v>2.4845999999999999</v>
      </c>
      <c r="D12" s="123">
        <v>1</v>
      </c>
      <c r="E12" s="124">
        <v>1.9770000000000001</v>
      </c>
      <c r="F12" s="127">
        <v>0.93300000000000005</v>
      </c>
      <c r="G12" s="120">
        <v>2.7917999999999998</v>
      </c>
      <c r="H12" s="128">
        <v>1</v>
      </c>
      <c r="I12" s="129">
        <v>2.1850000000000001</v>
      </c>
    </row>
    <row r="13" spans="1:10" x14ac:dyDescent="0.4">
      <c r="A13" s="133">
        <v>10</v>
      </c>
      <c r="B13" s="118">
        <v>0.86699999999999999</v>
      </c>
      <c r="C13" s="120">
        <v>2.6508699999999998</v>
      </c>
      <c r="D13" s="123">
        <v>0.73</v>
      </c>
      <c r="E13" s="124">
        <v>2.0950000000000002</v>
      </c>
      <c r="F13" s="127">
        <v>0.86699999999999999</v>
      </c>
      <c r="G13" s="120">
        <v>2.47133</v>
      </c>
      <c r="H13" s="128">
        <v>1</v>
      </c>
      <c r="I13" s="129">
        <v>1.7430000000000001</v>
      </c>
    </row>
    <row r="14" spans="1:10" x14ac:dyDescent="0.4">
      <c r="A14" s="133">
        <v>11</v>
      </c>
      <c r="B14" s="118">
        <v>0.86599999999999999</v>
      </c>
      <c r="C14" s="120">
        <v>2.8096700000000001</v>
      </c>
      <c r="D14" s="123">
        <v>0.8</v>
      </c>
      <c r="E14" s="124">
        <v>2.3650000000000002</v>
      </c>
      <c r="F14" s="127">
        <v>0.73299999999999998</v>
      </c>
      <c r="G14" s="120">
        <v>2.94773</v>
      </c>
      <c r="H14" s="128">
        <v>0.83</v>
      </c>
      <c r="I14" s="129">
        <v>1.907</v>
      </c>
    </row>
    <row r="15" spans="1:10" x14ac:dyDescent="0.4">
      <c r="A15" s="133">
        <v>12</v>
      </c>
      <c r="B15" s="118">
        <v>0.8</v>
      </c>
      <c r="C15" s="120">
        <v>2.5460699999999998</v>
      </c>
      <c r="D15" s="123">
        <v>0.93</v>
      </c>
      <c r="E15" s="124">
        <v>1.9179999999999999</v>
      </c>
      <c r="F15" s="127">
        <v>0.93300000000000005</v>
      </c>
      <c r="G15" s="120">
        <v>2.278</v>
      </c>
      <c r="H15" s="128">
        <v>1</v>
      </c>
      <c r="I15" s="129">
        <v>1.151</v>
      </c>
    </row>
    <row r="16" spans="1:10" x14ac:dyDescent="0.4">
      <c r="A16" s="133">
        <v>13</v>
      </c>
      <c r="B16" s="118">
        <v>0.86699999999999999</v>
      </c>
      <c r="C16" s="120">
        <v>2.9117999999999999</v>
      </c>
      <c r="D16" s="123">
        <v>0.93</v>
      </c>
      <c r="E16" s="124">
        <v>2.3580000000000001</v>
      </c>
      <c r="F16" s="127">
        <v>0.86699999999999999</v>
      </c>
      <c r="G16" s="120">
        <v>2.7313299999999998</v>
      </c>
      <c r="H16" s="128">
        <v>1</v>
      </c>
      <c r="I16" s="129">
        <v>0.84299999999999997</v>
      </c>
    </row>
    <row r="17" spans="1:9" x14ac:dyDescent="0.4">
      <c r="A17" s="133">
        <v>14</v>
      </c>
      <c r="B17" s="118">
        <v>0.93300000000000005</v>
      </c>
      <c r="C17" s="120">
        <v>2.7285300000000001</v>
      </c>
      <c r="D17" s="123">
        <v>0.93</v>
      </c>
      <c r="E17" s="124">
        <v>1.948</v>
      </c>
      <c r="F17" s="127">
        <v>0.93300000000000005</v>
      </c>
      <c r="G17" s="120">
        <v>2.5206</v>
      </c>
      <c r="H17" s="128">
        <v>1</v>
      </c>
      <c r="I17" s="129">
        <v>0.98499999999999999</v>
      </c>
    </row>
    <row r="18" spans="1:9" x14ac:dyDescent="0.4">
      <c r="A18" s="133">
        <v>15</v>
      </c>
      <c r="B18" s="118">
        <v>0.93300000000000005</v>
      </c>
      <c r="C18" s="120">
        <v>2.3168700000000002</v>
      </c>
      <c r="D18" s="123">
        <v>1</v>
      </c>
      <c r="E18" s="124">
        <v>2.089</v>
      </c>
      <c r="F18" s="127">
        <v>1</v>
      </c>
      <c r="G18" s="120">
        <v>2.3374700000000002</v>
      </c>
      <c r="H18" s="128">
        <v>1</v>
      </c>
      <c r="I18" s="129">
        <v>0.93</v>
      </c>
    </row>
    <row r="19" spans="1:9" x14ac:dyDescent="0.4">
      <c r="A19" s="133">
        <v>16</v>
      </c>
      <c r="B19" s="118">
        <v>0.8</v>
      </c>
      <c r="C19" s="120">
        <v>2.7290000000000001</v>
      </c>
      <c r="D19" s="123">
        <v>0.93</v>
      </c>
      <c r="E19" s="124">
        <v>1.784</v>
      </c>
      <c r="F19" s="127">
        <v>0.93300000000000005</v>
      </c>
      <c r="G19" s="120">
        <v>2.3144</v>
      </c>
      <c r="H19" s="128">
        <v>1</v>
      </c>
      <c r="I19" s="129">
        <v>0.71299999999999997</v>
      </c>
    </row>
    <row r="20" spans="1:9" x14ac:dyDescent="0.4">
      <c r="A20" s="133">
        <v>17</v>
      </c>
      <c r="B20" s="118">
        <v>0.86699999999999999</v>
      </c>
      <c r="C20" s="120">
        <v>2.3757299999999999</v>
      </c>
      <c r="D20" s="123">
        <v>1</v>
      </c>
      <c r="E20" s="124">
        <v>2.2149999999999999</v>
      </c>
      <c r="F20" s="127">
        <v>0.86699999999999999</v>
      </c>
      <c r="G20" s="120">
        <v>2.4648699999999999</v>
      </c>
      <c r="H20" s="128">
        <v>1</v>
      </c>
      <c r="I20" s="129">
        <v>1.63</v>
      </c>
    </row>
    <row r="21" spans="1:9" x14ac:dyDescent="0.4">
      <c r="A21" s="133">
        <v>18</v>
      </c>
      <c r="B21" s="118">
        <v>0.73299999999999998</v>
      </c>
      <c r="C21" s="120">
        <v>2.8881299999999999</v>
      </c>
      <c r="D21" s="123">
        <v>1</v>
      </c>
      <c r="E21" s="124">
        <v>2.0990000000000002</v>
      </c>
      <c r="F21" s="127">
        <v>0.73299999999999998</v>
      </c>
      <c r="G21" s="120">
        <v>2.6164700000000001</v>
      </c>
      <c r="H21" s="128">
        <v>1</v>
      </c>
      <c r="I21" s="129">
        <v>0.88100000000000001</v>
      </c>
    </row>
    <row r="22" spans="1:9" x14ac:dyDescent="0.4">
      <c r="A22" s="133">
        <v>19</v>
      </c>
      <c r="B22" s="118">
        <v>0.86699999999999999</v>
      </c>
      <c r="C22" s="120">
        <v>2.4674</v>
      </c>
      <c r="D22" s="123">
        <v>0.93</v>
      </c>
      <c r="E22" s="124">
        <v>2.1850000000000001</v>
      </c>
      <c r="F22" s="127">
        <v>0.8</v>
      </c>
      <c r="G22" s="120">
        <v>2.7977300000000001</v>
      </c>
      <c r="H22" s="128">
        <v>1</v>
      </c>
      <c r="I22" s="129">
        <v>1.6839999999999999</v>
      </c>
    </row>
    <row r="23" spans="1:9" x14ac:dyDescent="0.4">
      <c r="A23" s="133">
        <v>20</v>
      </c>
      <c r="B23" s="118">
        <v>0.86699999999999999</v>
      </c>
      <c r="C23" s="120">
        <v>2.2957999999999998</v>
      </c>
      <c r="D23" s="123">
        <v>1</v>
      </c>
      <c r="E23" s="124">
        <v>2.1789999999999998</v>
      </c>
      <c r="F23" s="127">
        <v>0.86699999999999999</v>
      </c>
      <c r="G23" s="120">
        <v>2.3617300000000001</v>
      </c>
      <c r="H23" s="128">
        <v>1</v>
      </c>
      <c r="I23" s="129">
        <v>1.0149999999999999</v>
      </c>
    </row>
    <row r="24" spans="1:9" x14ac:dyDescent="0.4">
      <c r="A24" s="133">
        <v>21</v>
      </c>
      <c r="B24" s="118">
        <v>0.8</v>
      </c>
      <c r="C24" s="120">
        <v>2.9137300000000002</v>
      </c>
      <c r="D24" s="123">
        <v>0.87</v>
      </c>
      <c r="E24" s="124">
        <v>2.2810000000000001</v>
      </c>
      <c r="F24" s="127">
        <v>0.8</v>
      </c>
      <c r="G24" s="120">
        <v>2.86693</v>
      </c>
      <c r="H24" s="128">
        <v>0.83</v>
      </c>
      <c r="I24" s="129">
        <v>1.867</v>
      </c>
    </row>
    <row r="25" spans="1:9" x14ac:dyDescent="0.4">
      <c r="A25" s="133">
        <v>22</v>
      </c>
      <c r="B25" s="118">
        <v>1</v>
      </c>
      <c r="C25" s="120">
        <v>2.6955300000000002</v>
      </c>
      <c r="D25" s="123">
        <v>1</v>
      </c>
      <c r="E25" s="124">
        <v>2.0569999999999999</v>
      </c>
      <c r="F25" s="127">
        <v>0.93300000000000005</v>
      </c>
      <c r="G25" s="120">
        <v>2.5172699999999999</v>
      </c>
      <c r="H25" s="128">
        <v>1</v>
      </c>
      <c r="I25" s="129">
        <v>1.0329999999999999</v>
      </c>
    </row>
    <row r="26" spans="1:9" x14ac:dyDescent="0.4">
      <c r="A26" s="133">
        <v>23</v>
      </c>
      <c r="B26" s="118">
        <v>0.86699999999999999</v>
      </c>
      <c r="C26" s="120">
        <v>2.67693</v>
      </c>
      <c r="D26" s="123">
        <v>1</v>
      </c>
      <c r="E26" s="124">
        <v>1.9259999999999999</v>
      </c>
      <c r="F26" s="127">
        <v>0.8</v>
      </c>
      <c r="G26" s="120">
        <v>2.7838699999999998</v>
      </c>
      <c r="H26" s="128">
        <v>1</v>
      </c>
      <c r="I26" s="129">
        <v>2.19</v>
      </c>
    </row>
    <row r="27" spans="1:9" x14ac:dyDescent="0.4">
      <c r="A27" s="133">
        <v>24</v>
      </c>
      <c r="B27" s="118">
        <v>0.93300000000000005</v>
      </c>
      <c r="C27" s="120">
        <v>2.49953</v>
      </c>
      <c r="D27" s="123">
        <v>1</v>
      </c>
      <c r="E27" s="124">
        <v>2.198</v>
      </c>
      <c r="F27" s="127">
        <v>0.93300000000000005</v>
      </c>
      <c r="G27" s="120">
        <v>2.6343999999999999</v>
      </c>
      <c r="H27" s="128">
        <v>1</v>
      </c>
      <c r="I27" s="129">
        <v>1.153</v>
      </c>
    </row>
    <row r="28" spans="1:9" x14ac:dyDescent="0.4">
      <c r="A28" s="133">
        <v>25</v>
      </c>
      <c r="B28" s="118">
        <v>0.73299999999999998</v>
      </c>
      <c r="C28" s="120">
        <v>2.4145300000000001</v>
      </c>
      <c r="D28" s="123">
        <v>1</v>
      </c>
      <c r="E28" s="124">
        <v>1.9750000000000001</v>
      </c>
      <c r="F28" s="127">
        <v>0.8</v>
      </c>
      <c r="G28" s="120">
        <v>2.6899299999999999</v>
      </c>
      <c r="H28" s="128">
        <v>1</v>
      </c>
      <c r="I28" s="129">
        <v>1.5109999999999999</v>
      </c>
    </row>
    <row r="29" spans="1:9" x14ac:dyDescent="0.4">
      <c r="A29" s="133">
        <v>26</v>
      </c>
      <c r="B29" s="118">
        <v>0.8</v>
      </c>
      <c r="C29" s="120">
        <v>2.6541299999999999</v>
      </c>
      <c r="D29" s="123">
        <v>0.93</v>
      </c>
      <c r="E29" s="124">
        <v>2.2509999999999999</v>
      </c>
      <c r="F29" s="127">
        <v>0.86699999999999999</v>
      </c>
      <c r="G29" s="120">
        <v>2.6048</v>
      </c>
      <c r="H29" s="128">
        <v>1</v>
      </c>
      <c r="I29" s="129">
        <v>1.4490000000000001</v>
      </c>
    </row>
    <row r="30" spans="1:9" x14ac:dyDescent="0.4">
      <c r="A30" s="133">
        <v>27</v>
      </c>
      <c r="B30" s="118">
        <v>0.8</v>
      </c>
      <c r="C30" s="120">
        <v>2.56067</v>
      </c>
      <c r="D30" s="123">
        <v>1</v>
      </c>
      <c r="E30" s="124">
        <v>1.9990000000000001</v>
      </c>
      <c r="F30" s="127">
        <v>0.73299999999999998</v>
      </c>
      <c r="G30" s="120">
        <v>2.4512</v>
      </c>
      <c r="H30" s="128">
        <v>1</v>
      </c>
      <c r="I30" s="129">
        <v>1.1830000000000001</v>
      </c>
    </row>
    <row r="31" spans="1:9" x14ac:dyDescent="0.4">
      <c r="A31" s="133">
        <v>28</v>
      </c>
      <c r="B31" s="118">
        <v>0.93300000000000005</v>
      </c>
      <c r="C31" s="120">
        <v>2.7542</v>
      </c>
      <c r="D31" s="123">
        <v>0.93</v>
      </c>
      <c r="E31" s="124">
        <v>2.657</v>
      </c>
      <c r="F31" s="127">
        <v>0.93300000000000005</v>
      </c>
      <c r="G31" s="120">
        <v>2.9165999999999999</v>
      </c>
      <c r="H31" s="128">
        <v>1</v>
      </c>
      <c r="I31" s="129">
        <v>1.089</v>
      </c>
    </row>
    <row r="32" spans="1:9" x14ac:dyDescent="0.4">
      <c r="A32" s="136" t="s">
        <v>7</v>
      </c>
      <c r="B32" s="137">
        <f>AVERAGE(B4:B31)</f>
        <v>0.84521428571428603</v>
      </c>
      <c r="C32" s="138">
        <f t="shared" ref="C32:I32" si="0">AVERAGE(C4:C31)</f>
        <v>2.5994874999999995</v>
      </c>
      <c r="D32" s="139">
        <f t="shared" si="0"/>
        <v>0.94428571428571428</v>
      </c>
      <c r="E32" s="140">
        <f t="shared" si="0"/>
        <v>2.1062500000000006</v>
      </c>
      <c r="F32" s="137">
        <f t="shared" si="0"/>
        <v>0.85232142857142879</v>
      </c>
      <c r="G32" s="141">
        <f t="shared" si="0"/>
        <v>2.5891710714285709</v>
      </c>
      <c r="H32" s="142">
        <f t="shared" si="0"/>
        <v>0.98285714285714276</v>
      </c>
      <c r="I32" s="143">
        <f t="shared" si="0"/>
        <v>1.2829999999999999</v>
      </c>
    </row>
    <row r="33" spans="1:9" ht="14.25" thickBot="1" x14ac:dyDescent="0.45">
      <c r="A33" s="134" t="s">
        <v>8</v>
      </c>
      <c r="B33" s="121">
        <f>STDEV(B4:B31)</f>
        <v>8.3248115157333616E-2</v>
      </c>
      <c r="C33" s="126">
        <f t="shared" ref="C33:I33" si="1">STDEV(C4:C31)</f>
        <v>0.2210551228996632</v>
      </c>
      <c r="D33" s="135">
        <f t="shared" si="1"/>
        <v>6.8227754286847644E-2</v>
      </c>
      <c r="E33" s="125">
        <f t="shared" si="1"/>
        <v>0.19248638720506772</v>
      </c>
      <c r="F33" s="121">
        <f t="shared" si="1"/>
        <v>8.7652535224126332E-2</v>
      </c>
      <c r="G33" s="122">
        <f t="shared" si="1"/>
        <v>0.27417418132679866</v>
      </c>
      <c r="H33" s="130">
        <f t="shared" si="1"/>
        <v>4.6892875780248339E-2</v>
      </c>
      <c r="I33" s="131">
        <f t="shared" si="1"/>
        <v>0.43715443495405654</v>
      </c>
    </row>
  </sheetData>
  <mergeCells count="7">
    <mergeCell ref="A1:A3"/>
    <mergeCell ref="B1:E1"/>
    <mergeCell ref="F1:I1"/>
    <mergeCell ref="B2:C2"/>
    <mergeCell ref="D2:E2"/>
    <mergeCell ref="F2:G2"/>
    <mergeCell ref="H2:I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0B38-837D-4B65-A937-67757FC004E3}">
  <dimension ref="A1:AJ75"/>
  <sheetViews>
    <sheetView topLeftCell="K1" workbookViewId="0">
      <selection activeCell="K1" sqref="A1:XFD1"/>
    </sheetView>
  </sheetViews>
  <sheetFormatPr defaultRowHeight="13.9" x14ac:dyDescent="0.4"/>
  <cols>
    <col min="1" max="1" width="10.796875" customWidth="1"/>
    <col min="2" max="2" width="14.1328125" customWidth="1"/>
    <col min="3" max="3" width="15.59765625" customWidth="1"/>
    <col min="35" max="35" width="11.796875" customWidth="1"/>
    <col min="36" max="36" width="13.86328125" customWidth="1"/>
  </cols>
  <sheetData>
    <row r="1" spans="1:36" ht="14.25" thickBot="1" x14ac:dyDescent="0.45">
      <c r="A1" s="5" t="s">
        <v>10</v>
      </c>
      <c r="B1" s="6" t="s">
        <v>11</v>
      </c>
      <c r="C1" s="7" t="s">
        <v>12</v>
      </c>
      <c r="D1" s="8">
        <v>1</v>
      </c>
      <c r="E1" s="8">
        <v>2</v>
      </c>
      <c r="F1" s="8">
        <v>3</v>
      </c>
      <c r="G1" s="8">
        <v>4</v>
      </c>
      <c r="H1" s="8">
        <v>5</v>
      </c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8">
        <v>12</v>
      </c>
      <c r="P1" s="8">
        <v>13</v>
      </c>
      <c r="Q1" s="8">
        <v>14</v>
      </c>
      <c r="R1" s="8">
        <v>15</v>
      </c>
      <c r="S1" s="8">
        <v>16</v>
      </c>
      <c r="T1" s="8">
        <v>17</v>
      </c>
      <c r="U1" s="8">
        <v>18</v>
      </c>
      <c r="V1" s="8">
        <v>19</v>
      </c>
      <c r="W1" s="8">
        <v>20</v>
      </c>
      <c r="X1" s="8">
        <v>21</v>
      </c>
      <c r="Y1" s="8">
        <v>22</v>
      </c>
      <c r="Z1" s="8">
        <v>23</v>
      </c>
      <c r="AA1" s="8">
        <v>24</v>
      </c>
      <c r="AB1" s="8">
        <v>25</v>
      </c>
      <c r="AC1" s="8">
        <v>26</v>
      </c>
      <c r="AD1" s="8">
        <v>27</v>
      </c>
      <c r="AE1" s="9">
        <v>28</v>
      </c>
      <c r="AF1" s="10" t="s">
        <v>13</v>
      </c>
      <c r="AG1" s="9" t="s">
        <v>14</v>
      </c>
      <c r="AH1" s="11" t="s">
        <v>15</v>
      </c>
      <c r="AI1" s="8" t="s">
        <v>16</v>
      </c>
      <c r="AJ1" s="9" t="s">
        <v>17</v>
      </c>
    </row>
    <row r="2" spans="1:36" x14ac:dyDescent="0.4">
      <c r="A2" s="166" t="s">
        <v>3</v>
      </c>
      <c r="B2" s="12"/>
      <c r="C2" s="13">
        <v>1</v>
      </c>
      <c r="D2" s="14">
        <v>-0.30781026249631699</v>
      </c>
      <c r="E2" s="14">
        <v>-0.178037746416293</v>
      </c>
      <c r="F2" s="14">
        <v>-0.15500937920400301</v>
      </c>
      <c r="G2" s="14">
        <v>-0.31667797988549701</v>
      </c>
      <c r="H2" s="14">
        <v>-0.15917558729029199</v>
      </c>
      <c r="I2" s="14">
        <v>-0.22015347940963101</v>
      </c>
      <c r="J2" s="14">
        <v>-0.18552077682389201</v>
      </c>
      <c r="K2" s="14">
        <v>-0.31726290967255</v>
      </c>
      <c r="L2" s="14">
        <v>-0.34018999473752798</v>
      </c>
      <c r="M2" s="14">
        <v>-0.171403531011975</v>
      </c>
      <c r="N2" s="14">
        <v>-0.105777504159945</v>
      </c>
      <c r="O2" s="14">
        <v>-0.346041296943226</v>
      </c>
      <c r="P2" s="14">
        <v>-0.22990585486766599</v>
      </c>
      <c r="Q2" s="14">
        <v>-0.301718435544302</v>
      </c>
      <c r="R2" s="14">
        <v>-0.176368636307799</v>
      </c>
      <c r="S2" s="14">
        <v>-0.25632382349057498</v>
      </c>
      <c r="T2" s="14">
        <v>-0.19712844155954201</v>
      </c>
      <c r="U2" s="14">
        <v>-0.105866426783833</v>
      </c>
      <c r="V2" s="14">
        <v>-0.33114333034903598</v>
      </c>
      <c r="W2" s="14">
        <v>-0.36554719842314398</v>
      </c>
      <c r="X2" s="14">
        <v>-0.51663417128435096</v>
      </c>
      <c r="Y2" s="14">
        <v>-4.86511512101373E-2</v>
      </c>
      <c r="Z2" s="14">
        <v>9.5936431141424805E-2</v>
      </c>
      <c r="AA2" s="14">
        <v>-0.32905463896103898</v>
      </c>
      <c r="AB2" s="14">
        <v>-0.33567069918886699</v>
      </c>
      <c r="AC2" s="14">
        <v>-0.16579147562322299</v>
      </c>
      <c r="AD2" s="14">
        <v>-0.46742132393278202</v>
      </c>
      <c r="AE2" s="14">
        <v>1.24850853681124E-2</v>
      </c>
      <c r="AF2" s="15">
        <f>AVERAGE(D2:AE2)</f>
        <v>-0.23292373353813958</v>
      </c>
      <c r="AG2" s="16">
        <f>STDEV(D2:AE2)</f>
        <v>0.13556270414522903</v>
      </c>
      <c r="AH2" s="17">
        <f>TINV(0.05,27)</f>
        <v>2.0518305164802859</v>
      </c>
      <c r="AI2" s="18">
        <f>AF2-AH2*AG2/(27)^(1/2)</f>
        <v>-0.28645405186488387</v>
      </c>
      <c r="AJ2" s="16">
        <f>AF2+AH2*AG2/(27)^(1/2)</f>
        <v>-0.17939341521139532</v>
      </c>
    </row>
    <row r="3" spans="1:36" x14ac:dyDescent="0.4">
      <c r="A3" s="167"/>
      <c r="B3" s="19"/>
      <c r="C3" s="20">
        <v>2</v>
      </c>
      <c r="D3" s="21">
        <v>-0.345204025660592</v>
      </c>
      <c r="E3" s="21">
        <v>-0.18021041044036601</v>
      </c>
      <c r="F3" s="21">
        <v>-0.29066373602248002</v>
      </c>
      <c r="G3" s="21">
        <v>-0.12300036448586101</v>
      </c>
      <c r="H3" s="21">
        <v>-0.17068987111919301</v>
      </c>
      <c r="I3" s="21">
        <v>-0.257695569992066</v>
      </c>
      <c r="J3" s="21">
        <v>-0.11791708446207801</v>
      </c>
      <c r="K3" s="21">
        <v>-0.56218419250588103</v>
      </c>
      <c r="L3" s="21">
        <v>-0.27526633660635003</v>
      </c>
      <c r="M3" s="21">
        <v>-0.25617955291049499</v>
      </c>
      <c r="N3" s="21">
        <v>-0.12630781802876301</v>
      </c>
      <c r="O3" s="21">
        <v>-0.31068494277499697</v>
      </c>
      <c r="P3" s="21">
        <v>-0.36728531088563399</v>
      </c>
      <c r="Q3" s="21">
        <v>-0.35684854245590703</v>
      </c>
      <c r="R3" s="21">
        <v>-0.23197049752971499</v>
      </c>
      <c r="S3" s="21">
        <v>-0.208732102965655</v>
      </c>
      <c r="T3" s="21">
        <v>-0.15468044275145501</v>
      </c>
      <c r="U3" s="21">
        <v>-5.4008067517699397E-2</v>
      </c>
      <c r="V3" s="21">
        <v>-0.39706844547723102</v>
      </c>
      <c r="W3" s="21">
        <v>-0.27556530741983898</v>
      </c>
      <c r="X3" s="21">
        <v>-0.43184860846302697</v>
      </c>
      <c r="Y3" s="21">
        <v>-9.6874606300715899E-2</v>
      </c>
      <c r="Z3" s="21">
        <v>8.0829364329630907E-2</v>
      </c>
      <c r="AA3" s="21">
        <v>-0.26246750216416997</v>
      </c>
      <c r="AB3" s="21">
        <v>-0.33190364939470302</v>
      </c>
      <c r="AC3" s="21">
        <v>-0.280238966037131</v>
      </c>
      <c r="AD3" s="21">
        <v>-0.53365966005142695</v>
      </c>
      <c r="AE3" s="21">
        <v>7.6693481580747402E-3</v>
      </c>
      <c r="AF3" s="22">
        <f t="shared" ref="AF3:AF37" si="0">AVERAGE(D3:AE3)</f>
        <v>-0.24680917506913308</v>
      </c>
      <c r="AG3" s="23">
        <f t="shared" ref="AG3:AG37" si="1">STDEV(D3:AE3)</f>
        <v>0.14781439481284731</v>
      </c>
      <c r="AH3" s="24">
        <f t="shared" ref="AH3:AH37" si="2">TINV(0.05,27)</f>
        <v>2.0518305164802859</v>
      </c>
      <c r="AI3" s="25">
        <f t="shared" ref="AI3:AI37" si="3">AF3-AH3*AG3/(27)^(1/2)</f>
        <v>-0.30517737934403466</v>
      </c>
      <c r="AJ3" s="23">
        <f t="shared" ref="AJ3:AJ37" si="4">AF3+AH3*AG3/(27)^(1/2)</f>
        <v>-0.1884409707942315</v>
      </c>
    </row>
    <row r="4" spans="1:36" x14ac:dyDescent="0.4">
      <c r="A4" s="167"/>
      <c r="B4" s="19"/>
      <c r="C4" s="20">
        <v>3</v>
      </c>
      <c r="D4" s="21">
        <v>-0.13001856145955001</v>
      </c>
      <c r="E4" s="21">
        <v>8.1686132126961297E-2</v>
      </c>
      <c r="F4" s="21">
        <v>-4.1807142613805498E-2</v>
      </c>
      <c r="G4" s="21">
        <v>6.7044399448832302E-3</v>
      </c>
      <c r="H4" s="21">
        <v>2.0453498203679001E-2</v>
      </c>
      <c r="I4" s="21">
        <v>-0.18730770796757601</v>
      </c>
      <c r="J4" s="21">
        <v>5.1008409416454001E-2</v>
      </c>
      <c r="K4" s="21">
        <v>-0.40383240890739103</v>
      </c>
      <c r="L4" s="21">
        <v>-7.8843440042518795E-2</v>
      </c>
      <c r="M4" s="21">
        <v>-7.0832987725140101E-2</v>
      </c>
      <c r="N4" s="21">
        <v>-0.214654008321531</v>
      </c>
      <c r="O4" s="21">
        <v>-1.06069062504587E-2</v>
      </c>
      <c r="P4" s="21">
        <v>0.22685858270064299</v>
      </c>
      <c r="Q4" s="21">
        <v>-7.8721515091245906E-2</v>
      </c>
      <c r="R4" s="21">
        <v>-4.3192975010171601E-2</v>
      </c>
      <c r="S4" s="21">
        <v>5.9265828208125898E-2</v>
      </c>
      <c r="T4" s="21">
        <v>6.3141398227003195E-2</v>
      </c>
      <c r="U4" s="21">
        <v>-3.3202617991761899E-2</v>
      </c>
      <c r="V4" s="21">
        <v>-0.36321663738900101</v>
      </c>
      <c r="W4" s="21">
        <v>4.5721977803097502E-2</v>
      </c>
      <c r="X4" s="21">
        <v>-0.17752067061384399</v>
      </c>
      <c r="Y4" s="21">
        <v>0.249243501724393</v>
      </c>
      <c r="Z4" s="21">
        <v>0.28962686240005497</v>
      </c>
      <c r="AA4" s="21">
        <v>-6.0457925448929403E-2</v>
      </c>
      <c r="AB4" s="21">
        <v>-0.13691052703757101</v>
      </c>
      <c r="AC4" s="21">
        <v>1.1178404388090201E-3</v>
      </c>
      <c r="AD4" s="21">
        <v>-0.282980436435252</v>
      </c>
      <c r="AE4" s="21">
        <v>0.21256750040414801</v>
      </c>
      <c r="AF4" s="22">
        <f t="shared" si="0"/>
        <v>-3.5953946310981991E-2</v>
      </c>
      <c r="AG4" s="23">
        <f t="shared" si="1"/>
        <v>0.16943390612321113</v>
      </c>
      <c r="AH4" s="24">
        <f t="shared" si="2"/>
        <v>2.0518305164802859</v>
      </c>
      <c r="AI4" s="25">
        <f t="shared" si="3"/>
        <v>-0.10285915440127369</v>
      </c>
      <c r="AJ4" s="23">
        <f t="shared" si="4"/>
        <v>3.0951261779309708E-2</v>
      </c>
    </row>
    <row r="5" spans="1:36" x14ac:dyDescent="0.4">
      <c r="A5" s="167"/>
      <c r="B5" s="169" t="s">
        <v>18</v>
      </c>
      <c r="C5" s="20">
        <v>4</v>
      </c>
      <c r="D5" s="21">
        <v>6.9315522659096004E-2</v>
      </c>
      <c r="E5" s="21">
        <v>0.478710306635306</v>
      </c>
      <c r="F5" s="21">
        <v>0.54748009158293998</v>
      </c>
      <c r="G5" s="21">
        <v>0.408300671876489</v>
      </c>
      <c r="H5" s="21">
        <v>0.25621471736356199</v>
      </c>
      <c r="I5" s="21">
        <v>-7.7271527382620706E-2</v>
      </c>
      <c r="J5" s="21">
        <v>0.25700334547563503</v>
      </c>
      <c r="K5" s="21">
        <v>-0.787689219290996</v>
      </c>
      <c r="L5" s="21">
        <v>0.46900252201764597</v>
      </c>
      <c r="M5" s="21">
        <v>0.247629408033716</v>
      </c>
      <c r="N5" s="21">
        <v>0.15159960848156101</v>
      </c>
      <c r="O5" s="21">
        <v>0.243652181505083</v>
      </c>
      <c r="P5" s="21">
        <v>0.56415845803398101</v>
      </c>
      <c r="Q5" s="21">
        <v>0.20444292377783299</v>
      </c>
      <c r="R5" s="21">
        <v>0.558990083204989</v>
      </c>
      <c r="S5" s="21">
        <v>0.36669774068317901</v>
      </c>
      <c r="T5" s="21">
        <v>0.55736202043516403</v>
      </c>
      <c r="U5" s="21">
        <v>9.7501902096624293E-2</v>
      </c>
      <c r="V5" s="21">
        <v>5.1234395028586698E-2</v>
      </c>
      <c r="W5" s="21">
        <v>0.53980384794516501</v>
      </c>
      <c r="X5" s="21">
        <v>0.29171811229788602</v>
      </c>
      <c r="Y5" s="21">
        <v>0.73751224495426804</v>
      </c>
      <c r="Z5" s="21">
        <v>0.43555693139434398</v>
      </c>
      <c r="AA5" s="21">
        <v>0.34202300891739401</v>
      </c>
      <c r="AB5" s="21">
        <v>0.17278443200021301</v>
      </c>
      <c r="AC5" s="21">
        <v>0.36536433143881197</v>
      </c>
      <c r="AD5" s="21">
        <v>0.22245174865996301</v>
      </c>
      <c r="AE5" s="21">
        <v>0.62482900370616701</v>
      </c>
      <c r="AF5" s="22">
        <f t="shared" si="0"/>
        <v>0.29987067191185668</v>
      </c>
      <c r="AG5" s="23">
        <f t="shared" si="1"/>
        <v>0.28960220049896129</v>
      </c>
      <c r="AH5" s="24">
        <f t="shared" si="2"/>
        <v>2.0518305164802859</v>
      </c>
      <c r="AI5" s="25">
        <f t="shared" si="3"/>
        <v>0.18551401254463787</v>
      </c>
      <c r="AJ5" s="23">
        <f t="shared" si="4"/>
        <v>0.41422733127907552</v>
      </c>
    </row>
    <row r="6" spans="1:36" x14ac:dyDescent="0.4">
      <c r="A6" s="167"/>
      <c r="B6" s="170"/>
      <c r="C6" s="20">
        <v>5</v>
      </c>
      <c r="D6" s="21">
        <v>0.27642631768284698</v>
      </c>
      <c r="E6" s="21">
        <v>0.505385792708551</v>
      </c>
      <c r="F6" s="21">
        <v>0.68360526612572403</v>
      </c>
      <c r="G6" s="21">
        <v>0.57296573791046501</v>
      </c>
      <c r="H6" s="21">
        <v>0.388503826137025</v>
      </c>
      <c r="I6" s="21">
        <v>8.3940300561863496E-2</v>
      </c>
      <c r="J6" s="21">
        <v>0.64577451452726897</v>
      </c>
      <c r="K6" s="21">
        <v>-0.14219514404578601</v>
      </c>
      <c r="L6" s="21">
        <v>0.87057545113995605</v>
      </c>
      <c r="M6" s="21">
        <v>0.42994236994617502</v>
      </c>
      <c r="N6" s="21">
        <v>0.190834654373745</v>
      </c>
      <c r="O6" s="21">
        <v>0.40621324186858399</v>
      </c>
      <c r="P6" s="21">
        <v>0.41536218617417803</v>
      </c>
      <c r="Q6" s="21">
        <v>0.41480410252428601</v>
      </c>
      <c r="R6" s="21">
        <v>0.79749664818362398</v>
      </c>
      <c r="S6" s="21">
        <v>0.353592347345554</v>
      </c>
      <c r="T6" s="21">
        <v>0.95477654138606705</v>
      </c>
      <c r="U6" s="21">
        <v>0.18970081410711201</v>
      </c>
      <c r="V6" s="21">
        <v>0.25151169951492103</v>
      </c>
      <c r="W6" s="21">
        <v>0.90856589498351004</v>
      </c>
      <c r="X6" s="21">
        <v>0.62574275416228797</v>
      </c>
      <c r="Y6" s="21">
        <v>1.0634735773786499</v>
      </c>
      <c r="Z6" s="21">
        <v>0.37549584979895201</v>
      </c>
      <c r="AA6" s="21">
        <v>0.56497602981397599</v>
      </c>
      <c r="AB6" s="21">
        <v>0.32761983764156299</v>
      </c>
      <c r="AC6" s="21">
        <v>0.54438022265040298</v>
      </c>
      <c r="AD6" s="21">
        <v>0.45314720307419498</v>
      </c>
      <c r="AE6" s="21">
        <v>0.60281420503170502</v>
      </c>
      <c r="AF6" s="22">
        <f t="shared" si="0"/>
        <v>0.4912654372395503</v>
      </c>
      <c r="AG6" s="23">
        <f t="shared" si="1"/>
        <v>0.27259770283413592</v>
      </c>
      <c r="AH6" s="24">
        <f t="shared" si="2"/>
        <v>2.0518305164802859</v>
      </c>
      <c r="AI6" s="25">
        <f t="shared" si="3"/>
        <v>0.38362342832670221</v>
      </c>
      <c r="AJ6" s="23">
        <f t="shared" si="4"/>
        <v>0.59890744615239844</v>
      </c>
    </row>
    <row r="7" spans="1:36" x14ac:dyDescent="0.4">
      <c r="A7" s="167"/>
      <c r="B7" s="169" t="s">
        <v>19</v>
      </c>
      <c r="C7" s="20">
        <v>6</v>
      </c>
      <c r="D7" s="21">
        <v>0.28643771562958797</v>
      </c>
      <c r="E7" s="21">
        <v>0.45469029881373002</v>
      </c>
      <c r="F7" s="21">
        <v>0.44634255917834698</v>
      </c>
      <c r="G7" s="21">
        <v>0.62847771879491099</v>
      </c>
      <c r="H7" s="21">
        <v>0.45421033711726</v>
      </c>
      <c r="I7" s="21">
        <v>0.160959934463278</v>
      </c>
      <c r="J7" s="21">
        <v>0.51552560524039803</v>
      </c>
      <c r="K7" s="21">
        <v>0.19733216784362601</v>
      </c>
      <c r="L7" s="21">
        <v>0.826409909338778</v>
      </c>
      <c r="M7" s="21">
        <v>0.43060184891857001</v>
      </c>
      <c r="N7" s="21">
        <v>0.29995057910525702</v>
      </c>
      <c r="O7" s="21">
        <v>0.24969523183484901</v>
      </c>
      <c r="P7" s="21">
        <v>5.5000740528669198E-2</v>
      </c>
      <c r="Q7" s="21">
        <v>0.36262890180240898</v>
      </c>
      <c r="R7" s="21">
        <v>0.57690071953133704</v>
      </c>
      <c r="S7" s="21">
        <v>6.9190586758210701E-2</v>
      </c>
      <c r="T7" s="21">
        <v>1.0458709853113499</v>
      </c>
      <c r="U7" s="21">
        <v>0.35848749350415599</v>
      </c>
      <c r="V7" s="21">
        <v>0.41766589914298802</v>
      </c>
      <c r="W7" s="21">
        <v>0.81330589431343003</v>
      </c>
      <c r="X7" s="21">
        <v>0.62482273449109005</v>
      </c>
      <c r="Y7" s="21">
        <v>0.92184588248767296</v>
      </c>
      <c r="Z7" s="21">
        <v>0.106243856934867</v>
      </c>
      <c r="AA7" s="21">
        <v>0.54148860794960196</v>
      </c>
      <c r="AB7" s="21">
        <v>0.41240260576489601</v>
      </c>
      <c r="AC7" s="21">
        <v>0.53840764557662601</v>
      </c>
      <c r="AD7" s="21">
        <v>0.60086029645260897</v>
      </c>
      <c r="AE7" s="21">
        <v>0.172493687192073</v>
      </c>
      <c r="AF7" s="22">
        <f t="shared" si="0"/>
        <v>0.44886608728644922</v>
      </c>
      <c r="AG7" s="23">
        <f t="shared" si="1"/>
        <v>0.25276174925457473</v>
      </c>
      <c r="AH7" s="24">
        <f t="shared" si="2"/>
        <v>2.0518305164802859</v>
      </c>
      <c r="AI7" s="25">
        <f t="shared" si="3"/>
        <v>0.34905679988888527</v>
      </c>
      <c r="AJ7" s="23">
        <f t="shared" si="4"/>
        <v>0.54867537468401317</v>
      </c>
    </row>
    <row r="8" spans="1:36" x14ac:dyDescent="0.4">
      <c r="A8" s="167"/>
      <c r="B8" s="171"/>
      <c r="C8" s="20">
        <v>7</v>
      </c>
      <c r="D8" s="21">
        <v>0.204975924003235</v>
      </c>
      <c r="E8" s="21">
        <v>0.40779696696102902</v>
      </c>
      <c r="F8" s="21">
        <v>0.24383208550699401</v>
      </c>
      <c r="G8" s="21">
        <v>0.49662280242854701</v>
      </c>
      <c r="H8" s="21">
        <v>0.28177767901635697</v>
      </c>
      <c r="I8" s="21">
        <v>0.29891786702802298</v>
      </c>
      <c r="J8" s="21">
        <v>0.28985432004411299</v>
      </c>
      <c r="K8" s="21">
        <v>0.155188605460821</v>
      </c>
      <c r="L8" s="21">
        <v>0.558486834305014</v>
      </c>
      <c r="M8" s="21">
        <v>0.28782465139987301</v>
      </c>
      <c r="N8" s="21">
        <v>0.17254890834772099</v>
      </c>
      <c r="O8" s="21">
        <v>1.44973078060246E-2</v>
      </c>
      <c r="P8" s="21">
        <v>-1.4939644947276E-3</v>
      </c>
      <c r="Q8" s="21">
        <v>0.21384233965761701</v>
      </c>
      <c r="R8" s="21">
        <v>0.307627596556514</v>
      </c>
      <c r="S8" s="21">
        <v>-0.13619595961608799</v>
      </c>
      <c r="T8" s="21">
        <v>0.64514629931578305</v>
      </c>
      <c r="U8" s="21">
        <v>0.33787965340381698</v>
      </c>
      <c r="V8" s="21">
        <v>0.47647701007806997</v>
      </c>
      <c r="W8" s="21">
        <v>0.60542740396233796</v>
      </c>
      <c r="X8" s="21">
        <v>0.52316056082676698</v>
      </c>
      <c r="Y8" s="21">
        <v>0.61528248941186803</v>
      </c>
      <c r="Z8" s="21">
        <v>-0.108376156469248</v>
      </c>
      <c r="AA8" s="21">
        <v>0.37991644394041602</v>
      </c>
      <c r="AB8" s="21">
        <v>0.51058737796356002</v>
      </c>
      <c r="AC8" s="21">
        <v>0.26929193175190802</v>
      </c>
      <c r="AD8" s="21">
        <v>0.53834285476000299</v>
      </c>
      <c r="AE8" s="21">
        <v>-0.183412224711588</v>
      </c>
      <c r="AF8" s="22">
        <f t="shared" si="0"/>
        <v>0.30020812888017007</v>
      </c>
      <c r="AG8" s="23">
        <f t="shared" si="1"/>
        <v>0.23097005652361438</v>
      </c>
      <c r="AH8" s="24">
        <f t="shared" si="2"/>
        <v>2.0518305164802859</v>
      </c>
      <c r="AI8" s="25">
        <f t="shared" si="3"/>
        <v>0.2090038354307735</v>
      </c>
      <c r="AJ8" s="23">
        <f t="shared" si="4"/>
        <v>0.39141242232956663</v>
      </c>
    </row>
    <row r="9" spans="1:36" x14ac:dyDescent="0.4">
      <c r="A9" s="167"/>
      <c r="B9" s="171"/>
      <c r="C9" s="20">
        <v>8</v>
      </c>
      <c r="D9" s="21">
        <v>0.177891517057958</v>
      </c>
      <c r="E9" s="21">
        <v>0.38507452237601503</v>
      </c>
      <c r="F9" s="21">
        <v>8.4901677442687104E-2</v>
      </c>
      <c r="G9" s="21">
        <v>0.148304668850812</v>
      </c>
      <c r="H9" s="21">
        <v>0.12733608939812699</v>
      </c>
      <c r="I9" s="21">
        <v>0.168644820329276</v>
      </c>
      <c r="J9" s="21">
        <v>0.19288684388185101</v>
      </c>
      <c r="K9" s="21">
        <v>9.8965042831181904E-2</v>
      </c>
      <c r="L9" s="21">
        <v>0.25930191140484699</v>
      </c>
      <c r="M9" s="21">
        <v>0.28591216237995798</v>
      </c>
      <c r="N9" s="21">
        <v>0.105870279630821</v>
      </c>
      <c r="O9" s="21">
        <v>-0.22163262896019301</v>
      </c>
      <c r="P9" s="21">
        <v>-3.68624983118905E-2</v>
      </c>
      <c r="Q9" s="21">
        <v>0.106705883806441</v>
      </c>
      <c r="R9" s="21">
        <v>0.17264041902357899</v>
      </c>
      <c r="S9" s="21">
        <v>-5.6356136384010803E-2</v>
      </c>
      <c r="T9" s="21">
        <v>0.31935466320393802</v>
      </c>
      <c r="U9" s="21">
        <v>0.23529213158933199</v>
      </c>
      <c r="V9" s="21">
        <v>0.39864498115214497</v>
      </c>
      <c r="W9" s="21">
        <v>0.44186245466364898</v>
      </c>
      <c r="X9" s="21">
        <v>0.48078215472344199</v>
      </c>
      <c r="Y9" s="21">
        <v>0.47066953301526798</v>
      </c>
      <c r="Z9" s="21">
        <v>-0.146091368405592</v>
      </c>
      <c r="AA9" s="21">
        <v>8.8128119922401896E-2</v>
      </c>
      <c r="AB9" s="21">
        <v>0.47137142369631102</v>
      </c>
      <c r="AC9" s="21">
        <v>7.9499843481301003E-4</v>
      </c>
      <c r="AD9" s="21">
        <v>0.529906688949211</v>
      </c>
      <c r="AE9" s="21">
        <v>-0.186938032311744</v>
      </c>
      <c r="AF9" s="22">
        <f t="shared" si="0"/>
        <v>0.18226294012109415</v>
      </c>
      <c r="AG9" s="23">
        <f t="shared" si="1"/>
        <v>0.20699876167361148</v>
      </c>
      <c r="AH9" s="24">
        <f t="shared" si="2"/>
        <v>2.0518305164802859</v>
      </c>
      <c r="AI9" s="25">
        <f t="shared" si="3"/>
        <v>0.10052431093471061</v>
      </c>
      <c r="AJ9" s="23">
        <f t="shared" si="4"/>
        <v>0.2640015693074777</v>
      </c>
    </row>
    <row r="10" spans="1:36" x14ac:dyDescent="0.4">
      <c r="A10" s="167"/>
      <c r="B10" s="170"/>
      <c r="C10" s="20">
        <v>9</v>
      </c>
      <c r="D10" s="21">
        <v>0.23980724602634401</v>
      </c>
      <c r="E10" s="21">
        <v>0.54434286569555401</v>
      </c>
      <c r="F10" s="21">
        <v>0.227530021802579</v>
      </c>
      <c r="G10" s="21">
        <v>0.30235879286462303</v>
      </c>
      <c r="H10" s="21">
        <v>5.8938740349219601E-2</v>
      </c>
      <c r="I10" s="21">
        <v>0.234023275270729</v>
      </c>
      <c r="J10" s="21">
        <v>0.40474151978040102</v>
      </c>
      <c r="K10" s="21">
        <v>4.2934356917200399E-2</v>
      </c>
      <c r="L10" s="21">
        <v>0.17118900620236799</v>
      </c>
      <c r="M10" s="21">
        <v>0.29056148913520002</v>
      </c>
      <c r="N10" s="21">
        <v>0.119158121260241</v>
      </c>
      <c r="O10" s="21">
        <v>1.48881518572352E-2</v>
      </c>
      <c r="P10" s="21">
        <v>0.30904888360126298</v>
      </c>
      <c r="Q10" s="21">
        <v>0.16797093880722899</v>
      </c>
      <c r="R10" s="21">
        <v>0.38745118292449299</v>
      </c>
      <c r="S10" s="21">
        <v>3.8356099512142798E-2</v>
      </c>
      <c r="T10" s="21">
        <v>0.48814062788345303</v>
      </c>
      <c r="U10" s="21">
        <v>0.26736131837556298</v>
      </c>
      <c r="V10" s="21">
        <v>0.43620451176474201</v>
      </c>
      <c r="W10" s="21">
        <v>0.45927739404541501</v>
      </c>
      <c r="X10" s="21">
        <v>0.43943877075022802</v>
      </c>
      <c r="Y10" s="21">
        <v>0.43955392270684901</v>
      </c>
      <c r="Z10" s="21">
        <v>6.7400860496945797E-2</v>
      </c>
      <c r="AA10" s="21">
        <v>0.17290765526662699</v>
      </c>
      <c r="AB10" s="21">
        <v>0.52604194122160597</v>
      </c>
      <c r="AC10" s="21">
        <v>3.6119294371246703E-2</v>
      </c>
      <c r="AD10" s="21">
        <v>0.614364577085041</v>
      </c>
      <c r="AE10" s="21">
        <v>4.4991311535880998E-2</v>
      </c>
      <c r="AF10" s="22">
        <f t="shared" si="0"/>
        <v>0.26946795991108641</v>
      </c>
      <c r="AG10" s="23">
        <f t="shared" si="1"/>
        <v>0.18057838547627611</v>
      </c>
      <c r="AH10" s="24">
        <f t="shared" si="2"/>
        <v>2.0518305164802859</v>
      </c>
      <c r="AI10" s="25">
        <f t="shared" si="3"/>
        <v>0.19816207590394158</v>
      </c>
      <c r="AJ10" s="23">
        <f t="shared" si="4"/>
        <v>0.34077384391823123</v>
      </c>
    </row>
    <row r="11" spans="1:36" x14ac:dyDescent="0.4">
      <c r="A11" s="167"/>
      <c r="B11" s="169" t="s">
        <v>20</v>
      </c>
      <c r="C11" s="20">
        <v>10</v>
      </c>
      <c r="D11" s="21">
        <v>0.29460177228858597</v>
      </c>
      <c r="E11" s="21">
        <v>0.71827669117755</v>
      </c>
      <c r="F11" s="21">
        <v>0.52323297878066899</v>
      </c>
      <c r="G11" s="21">
        <v>0.54107706478671902</v>
      </c>
      <c r="H11" s="21">
        <v>0.222547952689922</v>
      </c>
      <c r="I11" s="21">
        <v>0.39438122700788297</v>
      </c>
      <c r="J11" s="21">
        <v>0.60149561864852696</v>
      </c>
      <c r="K11" s="21">
        <v>0.42724121297079798</v>
      </c>
      <c r="L11" s="21">
        <v>0.55839332927646901</v>
      </c>
      <c r="M11" s="21">
        <v>0.36511558696193402</v>
      </c>
      <c r="N11" s="21">
        <v>0.42397043431299097</v>
      </c>
      <c r="O11" s="21">
        <v>0.25582847694568001</v>
      </c>
      <c r="P11" s="21">
        <v>0.52160939973378495</v>
      </c>
      <c r="Q11" s="21">
        <v>0.37526464350905497</v>
      </c>
      <c r="R11" s="21">
        <v>0.67380084710590304</v>
      </c>
      <c r="S11" s="21">
        <v>0.41755844696194799</v>
      </c>
      <c r="T11" s="21">
        <v>0.90402067736783898</v>
      </c>
      <c r="U11" s="21">
        <v>0.29449026952137503</v>
      </c>
      <c r="V11" s="21">
        <v>0.61043732632388903</v>
      </c>
      <c r="W11" s="21">
        <v>0.64466041164570198</v>
      </c>
      <c r="X11" s="21">
        <v>0.60279976361246601</v>
      </c>
      <c r="Y11" s="21">
        <v>0.72576586955688005</v>
      </c>
      <c r="Z11" s="21">
        <v>0.26759572329953502</v>
      </c>
      <c r="AA11" s="21">
        <v>0.51172998528514302</v>
      </c>
      <c r="AB11" s="21">
        <v>0.52391693877360901</v>
      </c>
      <c r="AC11" s="21">
        <v>0.31411316330564798</v>
      </c>
      <c r="AD11" s="21">
        <v>0.74433926858759403</v>
      </c>
      <c r="AE11" s="21">
        <v>0.53937833333046104</v>
      </c>
      <c r="AF11" s="22">
        <f t="shared" si="0"/>
        <v>0.49991583620602015</v>
      </c>
      <c r="AG11" s="23">
        <f t="shared" si="1"/>
        <v>0.17067175166639689</v>
      </c>
      <c r="AH11" s="24">
        <f t="shared" si="2"/>
        <v>2.0518305164802859</v>
      </c>
      <c r="AI11" s="25">
        <f t="shared" si="3"/>
        <v>0.43252183389770305</v>
      </c>
      <c r="AJ11" s="23">
        <f t="shared" si="4"/>
        <v>0.56730983851433725</v>
      </c>
    </row>
    <row r="12" spans="1:36" x14ac:dyDescent="0.4">
      <c r="A12" s="167"/>
      <c r="B12" s="170"/>
      <c r="C12" s="20">
        <v>11</v>
      </c>
      <c r="D12" s="21">
        <v>0.27779692573505999</v>
      </c>
      <c r="E12" s="21">
        <v>0.45574645493652999</v>
      </c>
      <c r="F12" s="21">
        <v>0.34161504162581402</v>
      </c>
      <c r="G12" s="21">
        <v>0.56168463113112899</v>
      </c>
      <c r="H12" s="21">
        <v>5.8782296275467098E-2</v>
      </c>
      <c r="I12" s="21">
        <v>0.35083354043388199</v>
      </c>
      <c r="J12" s="21">
        <v>0.397009801042088</v>
      </c>
      <c r="K12" s="21">
        <v>0.37378221659965</v>
      </c>
      <c r="L12" s="21">
        <v>0.70731567135551598</v>
      </c>
      <c r="M12" s="21">
        <v>0.20578546723668001</v>
      </c>
      <c r="N12" s="21">
        <v>0.47676266997571298</v>
      </c>
      <c r="O12" s="21">
        <v>0.33516981933503498</v>
      </c>
      <c r="P12" s="21">
        <v>0.24311861334811599</v>
      </c>
      <c r="Q12" s="21">
        <v>0.302742803023477</v>
      </c>
      <c r="R12" s="21">
        <v>0.34996448405549002</v>
      </c>
      <c r="S12" s="21">
        <v>0.25042786900470998</v>
      </c>
      <c r="T12" s="21">
        <v>0.86212437273383102</v>
      </c>
      <c r="U12" s="21">
        <v>0.35303911934063498</v>
      </c>
      <c r="V12" s="21">
        <v>0.39903685426447999</v>
      </c>
      <c r="W12" s="21">
        <v>0.59560503944876997</v>
      </c>
      <c r="X12" s="21">
        <v>0.430238574038526</v>
      </c>
      <c r="Y12" s="21">
        <v>0.78570073516944205</v>
      </c>
      <c r="Z12" s="21">
        <v>0.30093093496232298</v>
      </c>
      <c r="AA12" s="21">
        <v>0.38674968632159301</v>
      </c>
      <c r="AB12" s="21">
        <v>0.27987972582729898</v>
      </c>
      <c r="AC12" s="21">
        <v>0.26627873971467803</v>
      </c>
      <c r="AD12" s="21">
        <v>0.42453480800502003</v>
      </c>
      <c r="AE12" s="21">
        <v>0.418669586952717</v>
      </c>
      <c r="AF12" s="22">
        <f t="shared" si="0"/>
        <v>0.3996902314962027</v>
      </c>
      <c r="AG12" s="23">
        <f t="shared" si="1"/>
        <v>0.17377009165772719</v>
      </c>
      <c r="AH12" s="24">
        <f t="shared" si="2"/>
        <v>2.0518305164802859</v>
      </c>
      <c r="AI12" s="25">
        <f t="shared" si="3"/>
        <v>0.33107277228603216</v>
      </c>
      <c r="AJ12" s="23">
        <f t="shared" si="4"/>
        <v>0.46830769070637324</v>
      </c>
    </row>
    <row r="13" spans="1:36" x14ac:dyDescent="0.4">
      <c r="A13" s="167"/>
      <c r="B13" s="169" t="s">
        <v>21</v>
      </c>
      <c r="C13" s="20">
        <v>12</v>
      </c>
      <c r="D13" s="21">
        <v>-2.3677254102366801E-2</v>
      </c>
      <c r="E13" s="21">
        <v>0.127281900743071</v>
      </c>
      <c r="F13" s="21">
        <v>-0.180698371286936</v>
      </c>
      <c r="G13" s="21">
        <v>0.36326001535402902</v>
      </c>
      <c r="H13" s="21">
        <v>1.1170106866416E-3</v>
      </c>
      <c r="I13" s="21">
        <v>0.155409739115626</v>
      </c>
      <c r="J13" s="21">
        <v>-9.31016167928078E-3</v>
      </c>
      <c r="K13" s="21">
        <v>0.44578952379829601</v>
      </c>
      <c r="L13" s="21">
        <v>0.21370262583317801</v>
      </c>
      <c r="M13" s="21">
        <v>-1.09522970336541E-2</v>
      </c>
      <c r="N13" s="21">
        <v>-5.5169981197522498E-2</v>
      </c>
      <c r="O13" s="21">
        <v>0.16385986521052501</v>
      </c>
      <c r="P13" s="21">
        <v>-6.0930607544946698E-3</v>
      </c>
      <c r="Q13" s="21">
        <v>0.23987365609113401</v>
      </c>
      <c r="R13" s="21">
        <v>7.9931692982000799E-2</v>
      </c>
      <c r="S13" s="21">
        <v>0.16405007426484899</v>
      </c>
      <c r="T13" s="21">
        <v>0.31004076744099501</v>
      </c>
      <c r="U13" s="21">
        <v>5.7443648531730597E-2</v>
      </c>
      <c r="V13" s="21">
        <v>0.13268371422216699</v>
      </c>
      <c r="W13" s="21">
        <v>8.7749278839481804E-2</v>
      </c>
      <c r="X13" s="21">
        <v>0.245659627509908</v>
      </c>
      <c r="Y13" s="21">
        <v>0.249587954974998</v>
      </c>
      <c r="Z13" s="21">
        <v>5.39461291177048E-2</v>
      </c>
      <c r="AA13" s="21">
        <v>1.1867951702740199E-2</v>
      </c>
      <c r="AB13" s="21">
        <v>-4.52456487134043E-2</v>
      </c>
      <c r="AC13" s="21">
        <v>5.5866463615217299E-2</v>
      </c>
      <c r="AD13" s="21">
        <v>6.1972138199138202E-2</v>
      </c>
      <c r="AE13" s="21">
        <v>-0.25739685411097901</v>
      </c>
      <c r="AF13" s="22">
        <f t="shared" si="0"/>
        <v>9.401964819124263E-2</v>
      </c>
      <c r="AG13" s="23">
        <f t="shared" si="1"/>
        <v>0.15504769389808115</v>
      </c>
      <c r="AH13" s="24">
        <f t="shared" si="2"/>
        <v>2.0518305164802859</v>
      </c>
      <c r="AI13" s="25">
        <f t="shared" si="3"/>
        <v>3.279519517870666E-2</v>
      </c>
      <c r="AJ13" s="23">
        <f t="shared" si="4"/>
        <v>0.1552441012037786</v>
      </c>
    </row>
    <row r="14" spans="1:36" x14ac:dyDescent="0.4">
      <c r="A14" s="167"/>
      <c r="B14" s="171"/>
      <c r="C14" s="20">
        <v>13</v>
      </c>
      <c r="D14" s="21">
        <v>-1.21760647944597E-2</v>
      </c>
      <c r="E14" s="21">
        <v>7.2784244806129494E-2</v>
      </c>
      <c r="F14" s="21">
        <v>-0.26679916262121101</v>
      </c>
      <c r="G14" s="21">
        <v>-0.119314458310427</v>
      </c>
      <c r="H14" s="21">
        <v>1.7230750284170399E-2</v>
      </c>
      <c r="I14" s="21">
        <v>0.16887252065123401</v>
      </c>
      <c r="J14" s="21">
        <v>-0.13109170989343899</v>
      </c>
      <c r="K14" s="21">
        <v>-9.2047197960994198E-2</v>
      </c>
      <c r="L14" s="21">
        <v>-0.16966799107188901</v>
      </c>
      <c r="M14" s="21">
        <v>-0.119766327475147</v>
      </c>
      <c r="N14" s="21">
        <v>-0.2407209228693</v>
      </c>
      <c r="O14" s="21">
        <v>6.4495281429955698E-2</v>
      </c>
      <c r="P14" s="21">
        <v>-0.15154318891870799</v>
      </c>
      <c r="Q14" s="21">
        <v>-5.67144994685264E-2</v>
      </c>
      <c r="R14" s="21">
        <v>-0.112381207996747</v>
      </c>
      <c r="S14" s="21">
        <v>6.94261893350471E-2</v>
      </c>
      <c r="T14" s="21">
        <v>-0.192974508954463</v>
      </c>
      <c r="U14" s="21">
        <v>-6.2731112162879299E-2</v>
      </c>
      <c r="V14" s="21">
        <v>-8.2153183591501006E-2</v>
      </c>
      <c r="W14" s="21">
        <v>-4.4937317649399199E-2</v>
      </c>
      <c r="X14" s="21">
        <v>-0.10426410429685901</v>
      </c>
      <c r="Y14" s="21">
        <v>-0.13918494725515901</v>
      </c>
      <c r="Z14" s="21">
        <v>-1.4166809268019101E-2</v>
      </c>
      <c r="AA14" s="21">
        <v>-0.10737360690598</v>
      </c>
      <c r="AB14" s="21">
        <v>-0.13975996213828501</v>
      </c>
      <c r="AC14" s="21">
        <v>-9.31789282261377E-2</v>
      </c>
      <c r="AD14" s="21">
        <v>-1.7802555228058702E-2</v>
      </c>
      <c r="AE14" s="21">
        <v>-0.45808123629828401</v>
      </c>
      <c r="AF14" s="22">
        <f t="shared" si="0"/>
        <v>-9.0572214887476327E-2</v>
      </c>
      <c r="AG14" s="23">
        <f t="shared" si="1"/>
        <v>0.12092213256367763</v>
      </c>
      <c r="AH14" s="24">
        <f t="shared" si="2"/>
        <v>2.0518305164802859</v>
      </c>
      <c r="AI14" s="25">
        <f t="shared" si="3"/>
        <v>-0.13832133799398999</v>
      </c>
      <c r="AJ14" s="23">
        <f t="shared" si="4"/>
        <v>-4.2823091780962649E-2</v>
      </c>
    </row>
    <row r="15" spans="1:36" x14ac:dyDescent="0.4">
      <c r="A15" s="167"/>
      <c r="B15" s="171"/>
      <c r="C15" s="20">
        <v>14</v>
      </c>
      <c r="D15" s="21">
        <v>2.9716868280374301E-2</v>
      </c>
      <c r="E15" s="21">
        <v>5.57046915058379E-2</v>
      </c>
      <c r="F15" s="21">
        <v>-0.15333209106110199</v>
      </c>
      <c r="G15" s="21">
        <v>-0.132969065278459</v>
      </c>
      <c r="H15" s="21">
        <v>9.3356436576954097E-2</v>
      </c>
      <c r="I15" s="21">
        <v>-7.0611292965409606E-2</v>
      </c>
      <c r="J15" s="21">
        <v>-7.9733000584724295E-2</v>
      </c>
      <c r="K15" s="21">
        <v>5.0147946085132801E-4</v>
      </c>
      <c r="L15" s="21">
        <v>-0.35926502055428899</v>
      </c>
      <c r="M15" s="21">
        <v>1.0744561157423499E-2</v>
      </c>
      <c r="N15" s="21">
        <v>-0.102036557755269</v>
      </c>
      <c r="O15" s="21">
        <v>-9.4698507108020594E-2</v>
      </c>
      <c r="P15" s="21">
        <v>-0.27310768812080199</v>
      </c>
      <c r="Q15" s="21">
        <v>-0.16171216607762001</v>
      </c>
      <c r="R15" s="21">
        <v>-0.111066397825965</v>
      </c>
      <c r="S15" s="21">
        <v>4.3539356202984401E-2</v>
      </c>
      <c r="T15" s="21">
        <v>-0.21371171938135</v>
      </c>
      <c r="U15" s="21">
        <v>-0.115831587818675</v>
      </c>
      <c r="V15" s="21">
        <v>-0.22711609106816799</v>
      </c>
      <c r="W15" s="21">
        <v>-0.21569968922095401</v>
      </c>
      <c r="X15" s="21">
        <v>-0.233843124858296</v>
      </c>
      <c r="Y15" s="21">
        <v>-0.16042623104504999</v>
      </c>
      <c r="Z15" s="21">
        <v>-0.121385019557166</v>
      </c>
      <c r="AA15" s="21">
        <v>-0.197329841023901</v>
      </c>
      <c r="AB15" s="21">
        <v>-0.111241463376217</v>
      </c>
      <c r="AC15" s="21">
        <v>-0.19218380944928901</v>
      </c>
      <c r="AD15" s="21">
        <v>-9.7705555359567597E-2</v>
      </c>
      <c r="AE15" s="21">
        <v>-0.28491535245406302</v>
      </c>
      <c r="AF15" s="22">
        <f t="shared" si="0"/>
        <v>-0.12415563852714043</v>
      </c>
      <c r="AG15" s="23">
        <f t="shared" si="1"/>
        <v>0.11030026256126127</v>
      </c>
      <c r="AH15" s="24">
        <f t="shared" si="2"/>
        <v>2.0518305164802859</v>
      </c>
      <c r="AI15" s="25">
        <f t="shared" si="3"/>
        <v>-0.16771045106689594</v>
      </c>
      <c r="AJ15" s="23">
        <f t="shared" si="4"/>
        <v>-8.0600825987384911E-2</v>
      </c>
    </row>
    <row r="16" spans="1:36" x14ac:dyDescent="0.4">
      <c r="A16" s="167"/>
      <c r="B16" s="171"/>
      <c r="C16" s="20">
        <v>15</v>
      </c>
      <c r="D16" s="21">
        <v>-0.109519032330467</v>
      </c>
      <c r="E16" s="21">
        <v>-4.9277227101327897E-2</v>
      </c>
      <c r="F16" s="21">
        <v>-0.245524086703682</v>
      </c>
      <c r="G16" s="21">
        <v>-0.22201720765296701</v>
      </c>
      <c r="H16" s="21">
        <v>2.7775080855761299E-2</v>
      </c>
      <c r="I16" s="21">
        <v>-8.3134810672959206E-2</v>
      </c>
      <c r="J16" s="21">
        <v>-0.17988248373677601</v>
      </c>
      <c r="K16" s="21">
        <v>-0.78762492705240505</v>
      </c>
      <c r="L16" s="21">
        <v>-0.56809291756756797</v>
      </c>
      <c r="M16" s="21">
        <v>-4.9927504300882199E-2</v>
      </c>
      <c r="N16" s="21">
        <v>-2.5421975387573001E-2</v>
      </c>
      <c r="O16" s="21">
        <v>-0.12581570656728</v>
      </c>
      <c r="P16" s="21">
        <v>-0.24622522869263699</v>
      </c>
      <c r="Q16" s="21">
        <v>-0.18205880584130699</v>
      </c>
      <c r="R16" s="21">
        <v>-9.7830642106828195E-2</v>
      </c>
      <c r="S16" s="21">
        <v>6.8807732570761004E-2</v>
      </c>
      <c r="T16" s="21">
        <v>-0.29185757651425998</v>
      </c>
      <c r="U16" s="21">
        <v>-7.6263123329738296E-3</v>
      </c>
      <c r="V16" s="21">
        <v>-0.24327332093038401</v>
      </c>
      <c r="W16" s="21">
        <v>-0.231082415255073</v>
      </c>
      <c r="X16" s="21">
        <v>-0.17522062143589701</v>
      </c>
      <c r="Y16" s="21">
        <v>-0.32429986504032998</v>
      </c>
      <c r="Z16" s="21">
        <v>-0.135442984507022</v>
      </c>
      <c r="AA16" s="21">
        <v>-0.26930074454534703</v>
      </c>
      <c r="AB16" s="21">
        <v>-0.25851862167419798</v>
      </c>
      <c r="AC16" s="21">
        <v>-0.13366869622636501</v>
      </c>
      <c r="AD16" s="21">
        <v>-0.17093660686509701</v>
      </c>
      <c r="AE16" s="21">
        <v>-0.251033201369182</v>
      </c>
      <c r="AF16" s="22">
        <f t="shared" si="0"/>
        <v>-0.19171538246372383</v>
      </c>
      <c r="AG16" s="23">
        <f t="shared" si="1"/>
        <v>0.17283349436673012</v>
      </c>
      <c r="AH16" s="24">
        <f t="shared" si="2"/>
        <v>2.0518305164802859</v>
      </c>
      <c r="AI16" s="25">
        <f t="shared" si="3"/>
        <v>-0.2599630028495129</v>
      </c>
      <c r="AJ16" s="23">
        <f t="shared" si="4"/>
        <v>-0.12346776207793475</v>
      </c>
    </row>
    <row r="17" spans="1:36" x14ac:dyDescent="0.4">
      <c r="A17" s="167"/>
      <c r="B17" s="171"/>
      <c r="C17" s="20">
        <v>16</v>
      </c>
      <c r="D17" s="21">
        <v>-0.15948663458263401</v>
      </c>
      <c r="E17" s="21">
        <v>-7.2422134135450705E-2</v>
      </c>
      <c r="F17" s="21">
        <v>-0.25108562107219201</v>
      </c>
      <c r="G17" s="21">
        <v>-0.29439500164313798</v>
      </c>
      <c r="H17" s="21">
        <v>-3.9621026121096699E-2</v>
      </c>
      <c r="I17" s="21">
        <v>-8.3134810672973403E-2</v>
      </c>
      <c r="J17" s="21">
        <v>-0.37119367591183999</v>
      </c>
      <c r="K17" s="21">
        <v>-0.36406765935164698</v>
      </c>
      <c r="L17" s="21">
        <v>-0.49774596778261998</v>
      </c>
      <c r="M17" s="21">
        <v>-8.0428406773137298E-2</v>
      </c>
      <c r="N17" s="21">
        <v>-7.4922178214208601E-2</v>
      </c>
      <c r="O17" s="21">
        <v>-0.16144264507862199</v>
      </c>
      <c r="P17" s="21">
        <v>-0.14869471639651899</v>
      </c>
      <c r="Q17" s="21">
        <v>-0.112407445654355</v>
      </c>
      <c r="R17" s="21">
        <v>-0.19495128672147599</v>
      </c>
      <c r="S17" s="21">
        <v>1.15857567168689E-2</v>
      </c>
      <c r="T17" s="21">
        <v>-0.33417576492843099</v>
      </c>
      <c r="U17" s="21">
        <v>-4.9971189251465299E-2</v>
      </c>
      <c r="V17" s="21">
        <v>-0.29059953526564097</v>
      </c>
      <c r="W17" s="21">
        <v>-0.30410096984276402</v>
      </c>
      <c r="X17" s="21">
        <v>-0.22073284454411601</v>
      </c>
      <c r="Y17" s="21">
        <v>-0.40472969906642198</v>
      </c>
      <c r="Z17" s="21">
        <v>-0.16269340537060301</v>
      </c>
      <c r="AA17" s="21">
        <v>-0.266194725281167</v>
      </c>
      <c r="AB17" s="21">
        <v>-0.26822601922063399</v>
      </c>
      <c r="AC17" s="21">
        <v>-6.3342946357551E-2</v>
      </c>
      <c r="AD17" s="21">
        <v>-0.24326951144020301</v>
      </c>
      <c r="AE17" s="21">
        <v>-0.27284734432652102</v>
      </c>
      <c r="AF17" s="22">
        <f t="shared" si="0"/>
        <v>-0.20626062172466281</v>
      </c>
      <c r="AG17" s="23">
        <f t="shared" si="1"/>
        <v>0.1272658308866336</v>
      </c>
      <c r="AH17" s="24">
        <f t="shared" si="2"/>
        <v>2.0518305164802859</v>
      </c>
      <c r="AI17" s="25">
        <f t="shared" si="3"/>
        <v>-0.2565147124971569</v>
      </c>
      <c r="AJ17" s="23">
        <f t="shared" si="4"/>
        <v>-0.15600653095216871</v>
      </c>
    </row>
    <row r="18" spans="1:36" x14ac:dyDescent="0.4">
      <c r="A18" s="167"/>
      <c r="B18" s="171"/>
      <c r="C18" s="20">
        <v>17</v>
      </c>
      <c r="D18" s="21">
        <v>-0.14944544080861899</v>
      </c>
      <c r="E18" s="21">
        <v>-0.153233165474915</v>
      </c>
      <c r="F18" s="21">
        <v>-0.10766277180248</v>
      </c>
      <c r="G18" s="21">
        <v>-0.303525996486811</v>
      </c>
      <c r="H18" s="21">
        <v>-0.180201670803953</v>
      </c>
      <c r="I18" s="21">
        <v>-0.166387740887941</v>
      </c>
      <c r="J18" s="21">
        <v>-0.188256186341448</v>
      </c>
      <c r="K18" s="21">
        <v>-0.13097614841528499</v>
      </c>
      <c r="L18" s="21">
        <v>-0.48309684664889102</v>
      </c>
      <c r="M18" s="21">
        <v>-4.5673864929085498E-2</v>
      </c>
      <c r="N18" s="21">
        <v>-0.11837701165087799</v>
      </c>
      <c r="O18" s="21">
        <v>-7.4404681373707093E-2</v>
      </c>
      <c r="P18" s="21">
        <v>-0.23972715075140599</v>
      </c>
      <c r="Q18" s="21">
        <v>-0.17361621672777899</v>
      </c>
      <c r="R18" s="21">
        <v>-0.40847645845536801</v>
      </c>
      <c r="S18" s="21">
        <v>-0.21129428098896499</v>
      </c>
      <c r="T18" s="21">
        <v>-0.42377738932377401</v>
      </c>
      <c r="U18" s="21">
        <v>-0.107786061204137</v>
      </c>
      <c r="V18" s="21">
        <v>-0.25695873577635098</v>
      </c>
      <c r="W18" s="21">
        <v>-0.340709035285442</v>
      </c>
      <c r="X18" s="21">
        <v>-0.28628424611504499</v>
      </c>
      <c r="Y18" s="21">
        <v>-0.34473742457873802</v>
      </c>
      <c r="Z18" s="21">
        <v>-2.5051241085520801E-2</v>
      </c>
      <c r="AA18" s="21">
        <v>-0.182006812653938</v>
      </c>
      <c r="AB18" s="21">
        <v>-0.245502981680289</v>
      </c>
      <c r="AC18" s="21">
        <v>-0.121266182573137</v>
      </c>
      <c r="AD18" s="21">
        <v>-0.244520501807556</v>
      </c>
      <c r="AE18" s="21">
        <v>-0.17343676906222</v>
      </c>
      <c r="AF18" s="22">
        <f t="shared" si="0"/>
        <v>-0.21022832191763138</v>
      </c>
      <c r="AG18" s="23">
        <f t="shared" si="1"/>
        <v>0.11412266913609692</v>
      </c>
      <c r="AH18" s="24">
        <f t="shared" si="2"/>
        <v>2.0518305164802859</v>
      </c>
      <c r="AI18" s="25">
        <f t="shared" si="3"/>
        <v>-0.25529250712751295</v>
      </c>
      <c r="AJ18" s="23">
        <f t="shared" si="4"/>
        <v>-0.16516413670774982</v>
      </c>
    </row>
    <row r="19" spans="1:36" ht="14.25" thickBot="1" x14ac:dyDescent="0.45">
      <c r="A19" s="168"/>
      <c r="B19" s="172"/>
      <c r="C19" s="26">
        <v>18</v>
      </c>
      <c r="D19" s="27">
        <v>-0.22235583002215201</v>
      </c>
      <c r="E19" s="27">
        <v>-0.22583635494569801</v>
      </c>
      <c r="F19" s="27">
        <v>-0.157540024472197</v>
      </c>
      <c r="G19" s="27">
        <v>-0.37093340184649998</v>
      </c>
      <c r="H19" s="27">
        <v>-0.21987588791010601</v>
      </c>
      <c r="I19" s="27">
        <v>-0.15756435341215499</v>
      </c>
      <c r="J19" s="27">
        <v>-0.106110163789452</v>
      </c>
      <c r="K19" s="27">
        <v>-0.64438181951793105</v>
      </c>
      <c r="L19" s="27">
        <v>-0.41430831400582202</v>
      </c>
      <c r="M19" s="27">
        <v>-7.72299337571382E-2</v>
      </c>
      <c r="N19" s="27">
        <v>-0.21013494506469499</v>
      </c>
      <c r="O19" s="27">
        <v>-0.26261112447998802</v>
      </c>
      <c r="P19" s="27">
        <v>-0.24575048327231699</v>
      </c>
      <c r="Q19" s="27">
        <v>-0.27636252623986401</v>
      </c>
      <c r="R19" s="27">
        <v>-0.40307112775327802</v>
      </c>
      <c r="S19" s="27">
        <v>-0.34756092137807498</v>
      </c>
      <c r="T19" s="27">
        <v>-0.14189411895145501</v>
      </c>
      <c r="U19" s="27">
        <v>-0.179941731473206</v>
      </c>
      <c r="V19" s="27">
        <v>-0.33310269591069602</v>
      </c>
      <c r="W19" s="27">
        <v>-0.35795462355491697</v>
      </c>
      <c r="X19" s="27">
        <v>-0.33671282434106298</v>
      </c>
      <c r="Y19" s="27">
        <v>-0.34094843882162701</v>
      </c>
      <c r="Z19" s="27">
        <v>4.4530439906907297E-2</v>
      </c>
      <c r="AA19" s="27">
        <v>-0.24474840179038801</v>
      </c>
      <c r="AB19" s="27">
        <v>-0.232608080461886</v>
      </c>
      <c r="AC19" s="27">
        <v>-7.0929733451279703E-2</v>
      </c>
      <c r="AD19" s="27">
        <v>-0.26665340830727702</v>
      </c>
      <c r="AE19" s="27">
        <v>-0.14815414870952201</v>
      </c>
      <c r="AF19" s="28">
        <f t="shared" si="0"/>
        <v>-0.24824089206192063</v>
      </c>
      <c r="AG19" s="29">
        <f t="shared" si="1"/>
        <v>0.13376673429394914</v>
      </c>
      <c r="AH19" s="30">
        <f t="shared" si="2"/>
        <v>2.0518305164802859</v>
      </c>
      <c r="AI19" s="31">
        <f t="shared" si="3"/>
        <v>-0.30106202685289496</v>
      </c>
      <c r="AJ19" s="29">
        <f t="shared" si="4"/>
        <v>-0.19541975727094629</v>
      </c>
    </row>
    <row r="20" spans="1:36" x14ac:dyDescent="0.4">
      <c r="A20" s="173" t="s">
        <v>2</v>
      </c>
      <c r="B20" s="32"/>
      <c r="C20" s="33">
        <v>1</v>
      </c>
      <c r="D20" s="34">
        <v>-0.36007214344462501</v>
      </c>
      <c r="E20" s="34">
        <v>-0.38679454806171498</v>
      </c>
      <c r="F20" s="34">
        <v>-0.15957042590829901</v>
      </c>
      <c r="G20" s="34">
        <v>-0.24726008024833801</v>
      </c>
      <c r="H20" s="34">
        <v>-0.27616446564979902</v>
      </c>
      <c r="I20" s="34">
        <v>-0.25573165471519099</v>
      </c>
      <c r="J20" s="34">
        <v>-0.12436483546768699</v>
      </c>
      <c r="K20" s="34">
        <v>-0.29723587735792001</v>
      </c>
      <c r="L20" s="34">
        <v>-0.29649197807891797</v>
      </c>
      <c r="M20" s="34">
        <v>0.17630675717161601</v>
      </c>
      <c r="N20" s="34">
        <v>-0.32813935845369702</v>
      </c>
      <c r="O20" s="34">
        <v>-0.29153358426722698</v>
      </c>
      <c r="P20" s="34">
        <v>-0.32800012735046302</v>
      </c>
      <c r="Q20" s="34">
        <v>-0.26887676389250698</v>
      </c>
      <c r="R20" s="34">
        <v>-0.40903160052747001</v>
      </c>
      <c r="S20" s="34">
        <v>-0.55671710898205595</v>
      </c>
      <c r="T20" s="34">
        <v>-0.238245883830074</v>
      </c>
      <c r="U20" s="34">
        <v>-8.6924151842310907E-2</v>
      </c>
      <c r="V20" s="34">
        <v>-0.32957583789969602</v>
      </c>
      <c r="W20" s="34">
        <v>-0.15222124729294201</v>
      </c>
      <c r="X20" s="34">
        <v>-0.50872775223524502</v>
      </c>
      <c r="Y20" s="34">
        <v>-0.269991069188321</v>
      </c>
      <c r="Z20" s="34">
        <v>-9.7435335425188896E-4</v>
      </c>
      <c r="AA20" s="34">
        <v>-0.21827328520519901</v>
      </c>
      <c r="AB20" s="34">
        <v>-0.149612246215269</v>
      </c>
      <c r="AC20" s="34">
        <v>-6.0706403324971299E-2</v>
      </c>
      <c r="AD20" s="34">
        <v>-0.29504126664382102</v>
      </c>
      <c r="AE20" s="34">
        <v>-2.7330741922014502E-2</v>
      </c>
      <c r="AF20" s="35">
        <f t="shared" si="0"/>
        <v>-0.24097507264958612</v>
      </c>
      <c r="AG20" s="36">
        <f t="shared" si="1"/>
        <v>0.15438137890607465</v>
      </c>
      <c r="AH20" s="37">
        <f t="shared" si="2"/>
        <v>2.0518305164802859</v>
      </c>
      <c r="AI20" s="38">
        <f t="shared" si="3"/>
        <v>-0.30193641455163717</v>
      </c>
      <c r="AJ20" s="36">
        <f t="shared" si="4"/>
        <v>-0.18001373074753507</v>
      </c>
    </row>
    <row r="21" spans="1:36" x14ac:dyDescent="0.4">
      <c r="A21" s="174"/>
      <c r="B21" s="39"/>
      <c r="C21" s="40">
        <v>2</v>
      </c>
      <c r="D21" s="34">
        <v>-0.34496565904279902</v>
      </c>
      <c r="E21" s="34">
        <v>-0.30308663135684799</v>
      </c>
      <c r="F21" s="34">
        <v>-0.14753514783048099</v>
      </c>
      <c r="G21" s="34">
        <v>-0.216069495415354</v>
      </c>
      <c r="H21" s="34">
        <v>-0.30269738055990503</v>
      </c>
      <c r="I21" s="34">
        <v>-0.32560719101526497</v>
      </c>
      <c r="J21" s="34">
        <v>-0.15110485911864599</v>
      </c>
      <c r="K21" s="34">
        <v>-0.43453195282467</v>
      </c>
      <c r="L21" s="34">
        <v>-0.36683892786383798</v>
      </c>
      <c r="M21" s="34">
        <v>9.8817977917804001E-2</v>
      </c>
      <c r="N21" s="34">
        <v>-0.23063533136227901</v>
      </c>
      <c r="O21" s="34">
        <v>-0.20248127045240899</v>
      </c>
      <c r="P21" s="34">
        <v>-0.26168412644328498</v>
      </c>
      <c r="Q21" s="34">
        <v>-0.37657605901793501</v>
      </c>
      <c r="R21" s="34">
        <v>-0.32780554997734102</v>
      </c>
      <c r="S21" s="34">
        <v>-0.38546348592980401</v>
      </c>
      <c r="T21" s="34">
        <v>-0.24509338210872</v>
      </c>
      <c r="U21" s="34">
        <v>-3.1649972504723602E-2</v>
      </c>
      <c r="V21" s="34">
        <v>-0.34663739032886498</v>
      </c>
      <c r="W21" s="34">
        <v>-8.1316759090555007E-3</v>
      </c>
      <c r="X21" s="34">
        <v>-0.31638613973114998</v>
      </c>
      <c r="Y21" s="34">
        <v>-0.29321295916946599</v>
      </c>
      <c r="Z21" s="34">
        <v>-4.3577068589968296E-3</v>
      </c>
      <c r="AA21" s="34">
        <v>-0.3144711389873</v>
      </c>
      <c r="AB21" s="34">
        <v>-0.18964922415560101</v>
      </c>
      <c r="AC21" s="34">
        <v>-0.31935665552040798</v>
      </c>
      <c r="AD21" s="34">
        <v>-0.25645302531174202</v>
      </c>
      <c r="AE21" s="34">
        <v>-0.145402298875211</v>
      </c>
      <c r="AF21" s="35">
        <f t="shared" si="0"/>
        <v>-0.24103809499122472</v>
      </c>
      <c r="AG21" s="36">
        <f t="shared" si="1"/>
        <v>0.13021779810244546</v>
      </c>
      <c r="AH21" s="37">
        <f t="shared" si="2"/>
        <v>2.0518305164802859</v>
      </c>
      <c r="AI21" s="38">
        <f t="shared" si="3"/>
        <v>-0.29245784372066863</v>
      </c>
      <c r="AJ21" s="36">
        <f t="shared" si="4"/>
        <v>-0.18961834626178081</v>
      </c>
    </row>
    <row r="22" spans="1:36" x14ac:dyDescent="0.4">
      <c r="A22" s="174"/>
      <c r="B22" s="39"/>
      <c r="C22" s="40">
        <v>3</v>
      </c>
      <c r="D22" s="34">
        <v>-0.21171871970371101</v>
      </c>
      <c r="E22" s="34">
        <v>6.9887359440741606E-2</v>
      </c>
      <c r="F22" s="34">
        <v>6.1684478412345797E-2</v>
      </c>
      <c r="G22" s="34">
        <v>2.86244122760024E-2</v>
      </c>
      <c r="H22" s="34">
        <v>-0.144031800950088</v>
      </c>
      <c r="I22" s="34">
        <v>-0.18562841809314501</v>
      </c>
      <c r="J22" s="34">
        <v>0.13577819211789599</v>
      </c>
      <c r="K22" s="34">
        <v>-0.31874163115968202</v>
      </c>
      <c r="L22" s="34">
        <v>-0.12319599190071499</v>
      </c>
      <c r="M22" s="34">
        <v>0.25277334401823698</v>
      </c>
      <c r="N22" s="34">
        <v>-2.0992694844437599E-2</v>
      </c>
      <c r="O22" s="34">
        <v>-8.0574004398670197E-4</v>
      </c>
      <c r="P22" s="34">
        <v>0.325249571071211</v>
      </c>
      <c r="Q22" s="34">
        <v>-0.182143231732453</v>
      </c>
      <c r="R22" s="34">
        <v>0.114555027479084</v>
      </c>
      <c r="S22" s="34">
        <v>-0.109513967787151</v>
      </c>
      <c r="T22" s="34">
        <v>-4.1128800680027597E-2</v>
      </c>
      <c r="U22" s="34">
        <v>2.81875730692604E-3</v>
      </c>
      <c r="V22" s="34">
        <v>-0.30057722758726801</v>
      </c>
      <c r="W22" s="34">
        <v>0.272341991248993</v>
      </c>
      <c r="X22" s="34">
        <v>9.3367621316460203E-2</v>
      </c>
      <c r="Y22" s="34">
        <v>9.12255729901119E-2</v>
      </c>
      <c r="Z22" s="34">
        <v>6.8581100091620301E-2</v>
      </c>
      <c r="AA22" s="34">
        <v>-0.19567329741633399</v>
      </c>
      <c r="AB22" s="34">
        <v>7.0494541436133304E-2</v>
      </c>
      <c r="AC22" s="34">
        <v>-1.0988734710736E-2</v>
      </c>
      <c r="AD22" s="34">
        <v>-4.7056483818948801E-2</v>
      </c>
      <c r="AE22" s="34">
        <v>0.13431177074103501</v>
      </c>
      <c r="AF22" s="35">
        <f t="shared" si="0"/>
        <v>-6.0893928743530794E-3</v>
      </c>
      <c r="AG22" s="36">
        <f t="shared" si="1"/>
        <v>0.16371998258653447</v>
      </c>
      <c r="AH22" s="37">
        <f t="shared" si="2"/>
        <v>2.0518305164802859</v>
      </c>
      <c r="AI22" s="38">
        <f t="shared" si="3"/>
        <v>-7.0738315596618334E-2</v>
      </c>
      <c r="AJ22" s="36">
        <f t="shared" si="4"/>
        <v>5.8559529847912177E-2</v>
      </c>
    </row>
    <row r="23" spans="1:36" x14ac:dyDescent="0.4">
      <c r="A23" s="174"/>
      <c r="B23" s="176" t="s">
        <v>18</v>
      </c>
      <c r="C23" s="40">
        <v>4</v>
      </c>
      <c r="D23" s="34">
        <v>8.9576685170427994E-2</v>
      </c>
      <c r="E23" s="34">
        <v>0.39605854605322499</v>
      </c>
      <c r="F23" s="34">
        <v>0.42977566050397797</v>
      </c>
      <c r="G23" s="34">
        <v>0.332181124647632</v>
      </c>
      <c r="H23" s="34">
        <v>0.18844314460970599</v>
      </c>
      <c r="I23" s="34">
        <v>-8.9140406664540706E-2</v>
      </c>
      <c r="J23" s="34">
        <v>0.56219504109054697</v>
      </c>
      <c r="K23" s="34">
        <v>-4.9421443788929702E-2</v>
      </c>
      <c r="L23" s="34">
        <v>0.31163355902954398</v>
      </c>
      <c r="M23" s="34">
        <v>0.40257399259272098</v>
      </c>
      <c r="N23" s="34">
        <v>0.34307620925832699</v>
      </c>
      <c r="O23" s="34">
        <v>0.27543080935865299</v>
      </c>
      <c r="P23" s="34">
        <v>0.79601899854024705</v>
      </c>
      <c r="Q23" s="34">
        <v>0.21524943784321199</v>
      </c>
      <c r="R23" s="34">
        <v>0.67457650621804499</v>
      </c>
      <c r="S23" s="34">
        <v>0.34210672172380802</v>
      </c>
      <c r="T23" s="34">
        <v>0.43138103314697601</v>
      </c>
      <c r="U23" s="34">
        <v>8.5701796395312599E-2</v>
      </c>
      <c r="V23" s="34">
        <v>7.7700902153665596E-2</v>
      </c>
      <c r="W23" s="34">
        <v>0.72713440333693302</v>
      </c>
      <c r="X23" s="34">
        <v>0.557057535586437</v>
      </c>
      <c r="Y23" s="34">
        <v>0.61499544503631398</v>
      </c>
      <c r="Z23" s="34">
        <v>0.41247669043194402</v>
      </c>
      <c r="AA23" s="34">
        <v>0.35166645920429501</v>
      </c>
      <c r="AB23" s="34">
        <v>0.31136839846557501</v>
      </c>
      <c r="AC23" s="34">
        <v>0.48567678492518901</v>
      </c>
      <c r="AD23" s="34">
        <v>0.39223359518587098</v>
      </c>
      <c r="AE23" s="34">
        <v>0.55270760596538004</v>
      </c>
      <c r="AF23" s="35">
        <f t="shared" si="0"/>
        <v>0.36501554414358922</v>
      </c>
      <c r="AG23" s="36">
        <f t="shared" si="1"/>
        <v>0.21932527465937438</v>
      </c>
      <c r="AH23" s="37">
        <f t="shared" si="2"/>
        <v>2.0518305164802859</v>
      </c>
      <c r="AI23" s="38">
        <f t="shared" si="3"/>
        <v>0.27840948354863965</v>
      </c>
      <c r="AJ23" s="36">
        <f t="shared" si="4"/>
        <v>0.4516216047385388</v>
      </c>
    </row>
    <row r="24" spans="1:36" x14ac:dyDescent="0.4">
      <c r="A24" s="174"/>
      <c r="B24" s="177"/>
      <c r="C24" s="40">
        <v>5</v>
      </c>
      <c r="D24" s="34">
        <v>0.268053690233301</v>
      </c>
      <c r="E24" s="34">
        <v>0.59594363626706504</v>
      </c>
      <c r="F24" s="34">
        <v>0.49315949663998898</v>
      </c>
      <c r="G24" s="34">
        <v>0.517006980519923</v>
      </c>
      <c r="H24" s="34">
        <v>0.36535010322023698</v>
      </c>
      <c r="I24" s="34">
        <v>8.3143349435005107E-2</v>
      </c>
      <c r="J24" s="34">
        <v>0.75696736367551398</v>
      </c>
      <c r="K24" s="34">
        <v>0.24616212303773399</v>
      </c>
      <c r="L24" s="34">
        <v>0.73530484322388601</v>
      </c>
      <c r="M24" s="34">
        <v>0.45351874320851898</v>
      </c>
      <c r="N24" s="34">
        <v>0.46972969073493598</v>
      </c>
      <c r="O24" s="34">
        <v>0.433812844867276</v>
      </c>
      <c r="P24" s="34">
        <v>0.63297361823377596</v>
      </c>
      <c r="Q24" s="34">
        <v>0.31706706255283701</v>
      </c>
      <c r="R24" s="34">
        <v>0.84965078495773105</v>
      </c>
      <c r="S24" s="34">
        <v>0.35709693567626699</v>
      </c>
      <c r="T24" s="34">
        <v>0.76161867525017601</v>
      </c>
      <c r="U24" s="34">
        <v>0.20545310832076699</v>
      </c>
      <c r="V24" s="34">
        <v>0.32868055855841699</v>
      </c>
      <c r="W24" s="34">
        <v>0.97037905097386101</v>
      </c>
      <c r="X24" s="34">
        <v>0.69353670368165798</v>
      </c>
      <c r="Y24" s="34">
        <v>0.92006620735931199</v>
      </c>
      <c r="Z24" s="34">
        <v>0.38436076053225998</v>
      </c>
      <c r="AA24" s="34">
        <v>0.65215163716203495</v>
      </c>
      <c r="AB24" s="34">
        <v>0.47972654695766398</v>
      </c>
      <c r="AC24" s="34">
        <v>0.52506350941175095</v>
      </c>
      <c r="AD24" s="34">
        <v>0.48015576433901602</v>
      </c>
      <c r="AE24" s="34">
        <v>0.64982497303445497</v>
      </c>
      <c r="AF24" s="35">
        <f t="shared" si="0"/>
        <v>0.52235567007376338</v>
      </c>
      <c r="AG24" s="36">
        <f t="shared" si="1"/>
        <v>0.22014187175943978</v>
      </c>
      <c r="AH24" s="37">
        <f t="shared" si="2"/>
        <v>2.0518305164802859</v>
      </c>
      <c r="AI24" s="38">
        <f t="shared" si="3"/>
        <v>0.43542715572586732</v>
      </c>
      <c r="AJ24" s="36">
        <f t="shared" si="4"/>
        <v>0.60928418442165944</v>
      </c>
    </row>
    <row r="25" spans="1:36" x14ac:dyDescent="0.4">
      <c r="A25" s="174"/>
      <c r="B25" s="176" t="s">
        <v>19</v>
      </c>
      <c r="C25" s="40">
        <v>6</v>
      </c>
      <c r="D25" s="34">
        <v>0.204826944867122</v>
      </c>
      <c r="E25" s="34">
        <v>0.49455264847743702</v>
      </c>
      <c r="F25" s="34">
        <v>0.331874999954067</v>
      </c>
      <c r="G25" s="34">
        <v>0.65274326778312197</v>
      </c>
      <c r="H25" s="34">
        <v>0.33891105475436201</v>
      </c>
      <c r="I25" s="34">
        <v>0.24119583541231199</v>
      </c>
      <c r="J25" s="34">
        <v>0.26651960211907499</v>
      </c>
      <c r="K25" s="34">
        <v>0.23876851560214599</v>
      </c>
      <c r="L25" s="34">
        <v>0.875313039251295</v>
      </c>
      <c r="M25" s="34">
        <v>0.40293670602753101</v>
      </c>
      <c r="N25" s="34">
        <v>0.50908444691211197</v>
      </c>
      <c r="O25" s="34">
        <v>0.29052340271955701</v>
      </c>
      <c r="P25" s="34">
        <v>0.174221184217699</v>
      </c>
      <c r="Q25" s="34">
        <v>0.23736902132075899</v>
      </c>
      <c r="R25" s="34">
        <v>0.60468704114037997</v>
      </c>
      <c r="S25" s="34">
        <v>0.15565673246436501</v>
      </c>
      <c r="T25" s="34">
        <v>0.87140581589831301</v>
      </c>
      <c r="U25" s="34">
        <v>0.367351687739088</v>
      </c>
      <c r="V25" s="34">
        <v>0.50631965478629504</v>
      </c>
      <c r="W25" s="34">
        <v>0.92228333508002402</v>
      </c>
      <c r="X25" s="34">
        <v>0.41807706401024802</v>
      </c>
      <c r="Y25" s="34">
        <v>0.94093433346100097</v>
      </c>
      <c r="Z25" s="34">
        <v>0.13522529587066801</v>
      </c>
      <c r="AA25" s="34">
        <v>0.51699542746632599</v>
      </c>
      <c r="AB25" s="34">
        <v>0.43836144248736197</v>
      </c>
      <c r="AC25" s="34">
        <v>0.44279260539536802</v>
      </c>
      <c r="AD25" s="34">
        <v>0.48018784101513701</v>
      </c>
      <c r="AE25" s="34">
        <v>0.223947546073091</v>
      </c>
      <c r="AF25" s="35">
        <f t="shared" si="0"/>
        <v>0.43868094615379516</v>
      </c>
      <c r="AG25" s="36">
        <f t="shared" si="1"/>
        <v>0.23570963371535031</v>
      </c>
      <c r="AH25" s="37">
        <f t="shared" si="2"/>
        <v>2.0518305164802859</v>
      </c>
      <c r="AI25" s="38">
        <f t="shared" si="3"/>
        <v>0.34560511231718416</v>
      </c>
      <c r="AJ25" s="36">
        <f t="shared" si="4"/>
        <v>0.53175677999040616</v>
      </c>
    </row>
    <row r="26" spans="1:36" x14ac:dyDescent="0.4">
      <c r="A26" s="174"/>
      <c r="B26" s="178"/>
      <c r="C26" s="40">
        <v>7</v>
      </c>
      <c r="D26" s="34">
        <v>9.1279516696118803E-3</v>
      </c>
      <c r="E26" s="34">
        <v>0.25682699317783803</v>
      </c>
      <c r="F26" s="34">
        <v>2.2224067893120002E-2</v>
      </c>
      <c r="G26" s="34">
        <v>0.51494063917914401</v>
      </c>
      <c r="H26" s="34">
        <v>0.16469493421256201</v>
      </c>
      <c r="I26" s="34">
        <v>0.30967670724042701</v>
      </c>
      <c r="J26" s="34">
        <v>-8.6766910772666905E-2</v>
      </c>
      <c r="K26" s="34">
        <v>9.9125773427615999E-2</v>
      </c>
      <c r="L26" s="34">
        <v>0.90152561557789501</v>
      </c>
      <c r="M26" s="34">
        <v>0.121075393235358</v>
      </c>
      <c r="N26" s="34">
        <v>0.349899695500482</v>
      </c>
      <c r="O26" s="34">
        <v>7.26729415777356E-2</v>
      </c>
      <c r="P26" s="34">
        <v>1.10867891449402E-2</v>
      </c>
      <c r="Q26" s="34">
        <v>0.12964158423160599</v>
      </c>
      <c r="R26" s="34">
        <v>0.27937378688676501</v>
      </c>
      <c r="S26" s="34">
        <v>-1.29169112761644E-2</v>
      </c>
      <c r="T26" s="34">
        <v>0.50011563672151704</v>
      </c>
      <c r="U26" s="34">
        <v>0.154102887577622</v>
      </c>
      <c r="V26" s="34">
        <v>0.47183482090122197</v>
      </c>
      <c r="W26" s="34">
        <v>0.54798915170646001</v>
      </c>
      <c r="X26" s="34">
        <v>0.16760170853402201</v>
      </c>
      <c r="Y26" s="34">
        <v>0.52977196993877795</v>
      </c>
      <c r="Z26" s="34">
        <v>-1.9805731775889499E-2</v>
      </c>
      <c r="AA26" s="34">
        <v>0.107178371409389</v>
      </c>
      <c r="AB26" s="34">
        <v>0.22161119279356001</v>
      </c>
      <c r="AC26" s="34">
        <v>0.23041637377163199</v>
      </c>
      <c r="AD26" s="34">
        <v>0.35569826112337899</v>
      </c>
      <c r="AE26" s="34">
        <v>-0.238735872422111</v>
      </c>
      <c r="AF26" s="35">
        <f t="shared" si="0"/>
        <v>0.22035670789949466</v>
      </c>
      <c r="AG26" s="36">
        <f t="shared" si="1"/>
        <v>0.24082249072712661</v>
      </c>
      <c r="AH26" s="37">
        <f t="shared" si="2"/>
        <v>2.0518305164802859</v>
      </c>
      <c r="AI26" s="38">
        <f t="shared" si="3"/>
        <v>0.12526193481904632</v>
      </c>
      <c r="AJ26" s="36">
        <f t="shared" si="4"/>
        <v>0.31545148097994302</v>
      </c>
    </row>
    <row r="27" spans="1:36" x14ac:dyDescent="0.4">
      <c r="A27" s="174"/>
      <c r="B27" s="178"/>
      <c r="C27" s="40">
        <v>8</v>
      </c>
      <c r="D27" s="34">
        <v>-6.3693050062227002E-2</v>
      </c>
      <c r="E27" s="34">
        <v>4.6621748849702202E-2</v>
      </c>
      <c r="F27" s="34">
        <v>-0.159129034291765</v>
      </c>
      <c r="G27" s="34">
        <v>0.22769126928064001</v>
      </c>
      <c r="H27" s="34">
        <v>-6.01683907692063E-3</v>
      </c>
      <c r="I27" s="34">
        <v>4.47189201050264E-2</v>
      </c>
      <c r="J27" s="34">
        <v>-0.15434269079246099</v>
      </c>
      <c r="K27" s="34">
        <v>-2.0779251505899699E-2</v>
      </c>
      <c r="L27" s="34">
        <v>0.46576101436251299</v>
      </c>
      <c r="M27" s="34">
        <v>1.1931623307674499E-2</v>
      </c>
      <c r="N27" s="34">
        <v>0.25218617541038602</v>
      </c>
      <c r="O27" s="34">
        <v>-0.203623737678952</v>
      </c>
      <c r="P27" s="34">
        <v>0.12122772666951601</v>
      </c>
      <c r="Q27" s="34">
        <v>9.6771770616129502E-2</v>
      </c>
      <c r="R27" s="34">
        <v>9.0391738340627997E-2</v>
      </c>
      <c r="S27" s="34">
        <v>-9.7822189910672805E-2</v>
      </c>
      <c r="T27" s="34">
        <v>0.12282172682643</v>
      </c>
      <c r="U27" s="34">
        <v>-1.5304850014203401E-2</v>
      </c>
      <c r="V27" s="34">
        <v>0.13211097659644999</v>
      </c>
      <c r="W27" s="34">
        <v>0.17109825127758399</v>
      </c>
      <c r="X27" s="34">
        <v>5.4194908755107402E-3</v>
      </c>
      <c r="Y27" s="34">
        <v>0.139879594643986</v>
      </c>
      <c r="Z27" s="34">
        <v>-4.7213517918763097E-2</v>
      </c>
      <c r="AA27" s="34">
        <v>-9.4328325996457296E-2</v>
      </c>
      <c r="AB27" s="34">
        <v>0.18531711689226399</v>
      </c>
      <c r="AC27" s="34">
        <v>0.120165829409572</v>
      </c>
      <c r="AD27" s="34">
        <v>0.16987807655415499</v>
      </c>
      <c r="AE27" s="34">
        <v>-0.22655320388480499</v>
      </c>
      <c r="AF27" s="35">
        <f t="shared" si="0"/>
        <v>4.6970941388751429E-2</v>
      </c>
      <c r="AG27" s="36">
        <f t="shared" si="1"/>
        <v>0.1531863715680287</v>
      </c>
      <c r="AH27" s="37">
        <f t="shared" si="2"/>
        <v>2.0518305164802859</v>
      </c>
      <c r="AI27" s="38">
        <f t="shared" si="3"/>
        <v>-1.351852203011545E-2</v>
      </c>
      <c r="AJ27" s="36">
        <f t="shared" si="4"/>
        <v>0.10746040480761831</v>
      </c>
    </row>
    <row r="28" spans="1:36" x14ac:dyDescent="0.4">
      <c r="A28" s="174"/>
      <c r="B28" s="177"/>
      <c r="C28" s="40">
        <v>9</v>
      </c>
      <c r="D28" s="34">
        <v>-1.04777026428166E-2</v>
      </c>
      <c r="E28" s="34">
        <v>-2.5830561174984699E-2</v>
      </c>
      <c r="F28" s="34">
        <v>3.9173505968520303E-2</v>
      </c>
      <c r="G28" s="34">
        <v>0.22640678682552101</v>
      </c>
      <c r="H28" s="34">
        <v>3.7318169355259501E-2</v>
      </c>
      <c r="I28" s="34">
        <v>-7.6303801014304895E-2</v>
      </c>
      <c r="J28" s="34">
        <v>6.0666079753858002E-2</v>
      </c>
      <c r="K28" s="34">
        <v>8.7713901081357903E-2</v>
      </c>
      <c r="L28" s="34">
        <v>0.42701876421513402</v>
      </c>
      <c r="M28" s="34">
        <v>-7.9834875697997604E-2</v>
      </c>
      <c r="N28" s="34">
        <v>0.103775349644223</v>
      </c>
      <c r="O28" s="34">
        <v>-8.70620156464951E-2</v>
      </c>
      <c r="P28" s="34">
        <v>0.42901111700963601</v>
      </c>
      <c r="Q28" s="34">
        <v>8.4333022655442805E-2</v>
      </c>
      <c r="R28" s="34">
        <v>0.31764937185820902</v>
      </c>
      <c r="S28" s="34">
        <v>9.0895474151039907E-2</v>
      </c>
      <c r="T28" s="34">
        <v>8.8000088660450601E-2</v>
      </c>
      <c r="U28" s="34">
        <v>-6.23076633937103E-2</v>
      </c>
      <c r="V28" s="34">
        <v>0.23520374922487899</v>
      </c>
      <c r="W28" s="34">
        <v>0.175924757978208</v>
      </c>
      <c r="X28" s="34">
        <v>1.02495941491298E-2</v>
      </c>
      <c r="Y28" s="34">
        <v>7.6615014275134202E-2</v>
      </c>
      <c r="Z28" s="34">
        <v>-3.1765493001884602E-2</v>
      </c>
      <c r="AA28" s="34">
        <v>4.0236260982268797E-2</v>
      </c>
      <c r="AB28" s="34">
        <v>0.222239034425911</v>
      </c>
      <c r="AC28" s="34">
        <v>0.235232100331145</v>
      </c>
      <c r="AD28" s="34">
        <v>0.234416348840227</v>
      </c>
      <c r="AE28" s="34">
        <v>-6.2474157514287698E-2</v>
      </c>
      <c r="AF28" s="35">
        <f t="shared" si="0"/>
        <v>9.950079361782406E-2</v>
      </c>
      <c r="AG28" s="36">
        <f t="shared" si="1"/>
        <v>0.14560480852559188</v>
      </c>
      <c r="AH28" s="37">
        <f t="shared" si="2"/>
        <v>2.0518305164802859</v>
      </c>
      <c r="AI28" s="38">
        <f t="shared" si="3"/>
        <v>4.2005099655201876E-2</v>
      </c>
      <c r="AJ28" s="36">
        <f t="shared" si="4"/>
        <v>0.15699648758044624</v>
      </c>
    </row>
    <row r="29" spans="1:36" x14ac:dyDescent="0.4">
      <c r="A29" s="174"/>
      <c r="B29" s="176" t="s">
        <v>20</v>
      </c>
      <c r="C29" s="40">
        <v>10</v>
      </c>
      <c r="D29" s="34">
        <v>0.23188155598516799</v>
      </c>
      <c r="E29" s="34">
        <v>0.17909390253913601</v>
      </c>
      <c r="F29" s="34">
        <v>0.55092294619198801</v>
      </c>
      <c r="G29" s="34">
        <v>0.44747738675621901</v>
      </c>
      <c r="H29" s="34">
        <v>0.20940665049388901</v>
      </c>
      <c r="I29" s="34">
        <v>0.25576865601748</v>
      </c>
      <c r="J29" s="34">
        <v>0.393353284238045</v>
      </c>
      <c r="K29" s="34">
        <v>0.379247056878114</v>
      </c>
      <c r="L29" s="34">
        <v>0.78657676719207303</v>
      </c>
      <c r="M29" s="34">
        <v>0.12786802665081601</v>
      </c>
      <c r="N29" s="34">
        <v>0.235426735517478</v>
      </c>
      <c r="O29" s="34">
        <v>0.18189882141879801</v>
      </c>
      <c r="P29" s="34">
        <v>0.65510862345830301</v>
      </c>
      <c r="Q29" s="34">
        <v>0.36752560348827501</v>
      </c>
      <c r="R29" s="34">
        <v>0.72027346415342197</v>
      </c>
      <c r="S29" s="34">
        <v>0.36189733817974401</v>
      </c>
      <c r="T29" s="34">
        <v>0.52760298763165203</v>
      </c>
      <c r="U29" s="34">
        <v>0.10117179142955</v>
      </c>
      <c r="V29" s="34">
        <v>0.50511389136373397</v>
      </c>
      <c r="W29" s="34">
        <v>0.49845395135801501</v>
      </c>
      <c r="X29" s="34">
        <v>0.28660050287699301</v>
      </c>
      <c r="Y29" s="34">
        <v>0.50893254827461398</v>
      </c>
      <c r="Z29" s="34">
        <v>0.226969253696339</v>
      </c>
      <c r="AA29" s="34">
        <v>0.40041617108403199</v>
      </c>
      <c r="AB29" s="34">
        <v>0.43720235024302601</v>
      </c>
      <c r="AC29" s="34">
        <v>0.47190219275501</v>
      </c>
      <c r="AD29" s="34">
        <v>0.31082299127831398</v>
      </c>
      <c r="AE29" s="34">
        <v>0.36566781253988201</v>
      </c>
      <c r="AF29" s="35">
        <f t="shared" si="0"/>
        <v>0.38302083084607547</v>
      </c>
      <c r="AG29" s="36">
        <f t="shared" si="1"/>
        <v>0.17391055608201467</v>
      </c>
      <c r="AH29" s="37">
        <f t="shared" si="2"/>
        <v>2.0518305164802859</v>
      </c>
      <c r="AI29" s="38">
        <f t="shared" si="3"/>
        <v>0.31434790575099875</v>
      </c>
      <c r="AJ29" s="36">
        <f t="shared" si="4"/>
        <v>0.45169375594115219</v>
      </c>
    </row>
    <row r="30" spans="1:36" x14ac:dyDescent="0.4">
      <c r="A30" s="174"/>
      <c r="B30" s="177"/>
      <c r="C30" s="40">
        <v>11</v>
      </c>
      <c r="D30" s="34">
        <v>0.19121025182641899</v>
      </c>
      <c r="E30" s="34">
        <v>5.8993863431183499E-2</v>
      </c>
      <c r="F30" s="34">
        <v>0.31233606439498302</v>
      </c>
      <c r="G30" s="34">
        <v>0.39235633531460201</v>
      </c>
      <c r="H30" s="34">
        <v>2.46149105657309E-2</v>
      </c>
      <c r="I30" s="34">
        <v>0.28545508549242898</v>
      </c>
      <c r="J30" s="34">
        <v>0.30121464324449199</v>
      </c>
      <c r="K30" s="34">
        <v>0.55656505085485697</v>
      </c>
      <c r="L30" s="34">
        <v>0.69481716587756603</v>
      </c>
      <c r="M30" s="34">
        <v>-0.15438897352476</v>
      </c>
      <c r="N30" s="34">
        <v>0.22848353899036</v>
      </c>
      <c r="O30" s="34">
        <v>0.249965816177976</v>
      </c>
      <c r="P30" s="34">
        <v>0.25204976156874098</v>
      </c>
      <c r="Q30" s="34">
        <v>0.34076259599824199</v>
      </c>
      <c r="R30" s="34">
        <v>0.49149649443850701</v>
      </c>
      <c r="S30" s="34">
        <v>0.25602343020506102</v>
      </c>
      <c r="T30" s="34">
        <v>0.62742718054727198</v>
      </c>
      <c r="U30" s="34">
        <v>0.15046122816263999</v>
      </c>
      <c r="V30" s="34">
        <v>0.37772498577082497</v>
      </c>
      <c r="W30" s="34">
        <v>0.297462406240526</v>
      </c>
      <c r="X30" s="34">
        <v>0.35220940567735598</v>
      </c>
      <c r="Y30" s="34">
        <v>0.30958022946268199</v>
      </c>
      <c r="Z30" s="34">
        <v>0.23066733775965501</v>
      </c>
      <c r="AA30" s="34">
        <v>0.47490147115270498</v>
      </c>
      <c r="AB30" s="34">
        <v>0.27859989480749903</v>
      </c>
      <c r="AC30" s="34">
        <v>0.32395984442727799</v>
      </c>
      <c r="AD30" s="34">
        <v>0.23322951182502999</v>
      </c>
      <c r="AE30" s="34">
        <v>0.27454145188090701</v>
      </c>
      <c r="AF30" s="35">
        <f t="shared" si="0"/>
        <v>0.30045432080609874</v>
      </c>
      <c r="AG30" s="36">
        <f t="shared" si="1"/>
        <v>0.17352298549023346</v>
      </c>
      <c r="AH30" s="37">
        <f t="shared" si="2"/>
        <v>2.0518305164802859</v>
      </c>
      <c r="AI30" s="38">
        <f t="shared" si="3"/>
        <v>0.23193443763566457</v>
      </c>
      <c r="AJ30" s="36">
        <f t="shared" si="4"/>
        <v>0.36897420397653291</v>
      </c>
    </row>
    <row r="31" spans="1:36" x14ac:dyDescent="0.4">
      <c r="A31" s="174"/>
      <c r="B31" s="176" t="s">
        <v>21</v>
      </c>
      <c r="C31" s="40">
        <v>12</v>
      </c>
      <c r="D31" s="34">
        <v>1.17797802924144E-2</v>
      </c>
      <c r="E31" s="34">
        <v>-0.214882507157724</v>
      </c>
      <c r="F31" s="34">
        <v>-7.6971341398660797E-2</v>
      </c>
      <c r="G31" s="34">
        <v>3.5353983399318098E-2</v>
      </c>
      <c r="H31" s="34">
        <v>-0.103356341771885</v>
      </c>
      <c r="I31" s="34">
        <v>0.123617081662573</v>
      </c>
      <c r="J31" s="34">
        <v>-1.21293082228959E-2</v>
      </c>
      <c r="K31" s="34">
        <v>0.21851646045251899</v>
      </c>
      <c r="L31" s="34">
        <v>0.41981887701957898</v>
      </c>
      <c r="M31" s="34">
        <v>-0.17414036874732999</v>
      </c>
      <c r="N31" s="34">
        <v>-5.9270058457045097E-2</v>
      </c>
      <c r="O31" s="34">
        <v>0.18015505565200801</v>
      </c>
      <c r="P31" s="34">
        <v>-4.5170543168268198E-2</v>
      </c>
      <c r="Q31" s="34">
        <v>0.16006304700419999</v>
      </c>
      <c r="R31" s="34">
        <v>-3.3609469765409003E-2</v>
      </c>
      <c r="S31" s="34">
        <v>3.98757361325863E-3</v>
      </c>
      <c r="T31" s="34">
        <v>7.2520199186868695E-2</v>
      </c>
      <c r="U31" s="34">
        <v>-4.3516418513149802E-3</v>
      </c>
      <c r="V31" s="34">
        <v>0.106006198498121</v>
      </c>
      <c r="W31" s="34">
        <v>-2.30910241624258E-2</v>
      </c>
      <c r="X31" s="34">
        <v>0.19157972121391201</v>
      </c>
      <c r="Y31" s="34">
        <v>-0.236033719562072</v>
      </c>
      <c r="Z31" s="34">
        <v>5.44182249555831E-2</v>
      </c>
      <c r="AA31" s="34">
        <v>6.0558501310765601E-2</v>
      </c>
      <c r="AB31" s="34">
        <v>-0.117544027454854</v>
      </c>
      <c r="AC31" s="34">
        <v>-0.141363097321416</v>
      </c>
      <c r="AD31" s="34">
        <v>0.116277950813596</v>
      </c>
      <c r="AE31" s="34">
        <v>-0.29635272832790299</v>
      </c>
      <c r="AF31" s="35">
        <f t="shared" si="0"/>
        <v>7.7280884894825935E-3</v>
      </c>
      <c r="AG31" s="36">
        <f t="shared" si="1"/>
        <v>0.15495052981529239</v>
      </c>
      <c r="AH31" s="37">
        <f t="shared" si="2"/>
        <v>2.0518305164802859</v>
      </c>
      <c r="AI31" s="38">
        <f t="shared" si="3"/>
        <v>-5.3457996859067887E-2</v>
      </c>
      <c r="AJ31" s="36">
        <f t="shared" si="4"/>
        <v>6.8914173838033069E-2</v>
      </c>
    </row>
    <row r="32" spans="1:36" x14ac:dyDescent="0.4">
      <c r="A32" s="174"/>
      <c r="B32" s="178"/>
      <c r="C32" s="40">
        <v>13</v>
      </c>
      <c r="D32" s="34">
        <v>-6.7775078391718993E-2</v>
      </c>
      <c r="E32" s="34">
        <v>-0.263767447699152</v>
      </c>
      <c r="F32" s="34">
        <v>1.2719435083525301E-2</v>
      </c>
      <c r="G32" s="34">
        <v>-0.15634106125446501</v>
      </c>
      <c r="H32" s="34">
        <v>-0.16224189113603399</v>
      </c>
      <c r="I32" s="34">
        <v>-0.122156953348067</v>
      </c>
      <c r="J32" s="34">
        <v>-8.0877406607342495E-2</v>
      </c>
      <c r="K32" s="34">
        <v>-0.11866418472908399</v>
      </c>
      <c r="L32" s="34">
        <v>-4.7581592176186398E-2</v>
      </c>
      <c r="M32" s="34">
        <v>-9.6519693699050793E-2</v>
      </c>
      <c r="N32" s="34">
        <v>-4.9184466950038003E-2</v>
      </c>
      <c r="O32" s="34">
        <v>1.29038666743213E-2</v>
      </c>
      <c r="P32" s="34">
        <v>-0.19065034292121599</v>
      </c>
      <c r="Q32" s="34">
        <v>5.21949000965094E-2</v>
      </c>
      <c r="R32" s="34">
        <v>-0.31576773241380302</v>
      </c>
      <c r="S32" s="34">
        <v>-0.22619614397512999</v>
      </c>
      <c r="T32" s="34">
        <v>-0.35264129346192802</v>
      </c>
      <c r="U32" s="34">
        <v>-1.06186836352293E-2</v>
      </c>
      <c r="V32" s="34">
        <v>-6.0298721557714402E-2</v>
      </c>
      <c r="W32" s="34">
        <v>-0.179825478598232</v>
      </c>
      <c r="X32" s="34">
        <v>-2.54586693381781E-2</v>
      </c>
      <c r="Y32" s="34">
        <v>-0.42485150979170699</v>
      </c>
      <c r="Z32" s="34">
        <v>-0.128204181659725</v>
      </c>
      <c r="AA32" s="34">
        <v>8.9690003895128694E-3</v>
      </c>
      <c r="AB32" s="34">
        <v>-0.169485848654886</v>
      </c>
      <c r="AC32" s="34">
        <v>-0.160975749063723</v>
      </c>
      <c r="AD32" s="34">
        <v>5.2637825457949802E-2</v>
      </c>
      <c r="AE32" s="34">
        <v>-0.270066829389776</v>
      </c>
      <c r="AF32" s="35">
        <f t="shared" si="0"/>
        <v>-0.12645449759823454</v>
      </c>
      <c r="AG32" s="36">
        <f t="shared" si="1"/>
        <v>0.12254400166213565</v>
      </c>
      <c r="AH32" s="37">
        <f t="shared" si="2"/>
        <v>2.0518305164802859</v>
      </c>
      <c r="AI32" s="38">
        <f t="shared" si="3"/>
        <v>-0.17484405621149171</v>
      </c>
      <c r="AJ32" s="36">
        <f t="shared" si="4"/>
        <v>-7.8064938984977378E-2</v>
      </c>
    </row>
    <row r="33" spans="1:36" x14ac:dyDescent="0.4">
      <c r="A33" s="174"/>
      <c r="B33" s="178"/>
      <c r="C33" s="40">
        <v>14</v>
      </c>
      <c r="D33" s="34">
        <v>-8.4430945809103194E-2</v>
      </c>
      <c r="E33" s="34">
        <v>-0.34144018655941</v>
      </c>
      <c r="F33" s="34">
        <v>5.9889485838397101E-2</v>
      </c>
      <c r="G33" s="34">
        <v>-0.23592312640569399</v>
      </c>
      <c r="H33" s="34">
        <v>2.8838900557332101E-2</v>
      </c>
      <c r="I33" s="34">
        <v>-0.18289601422969701</v>
      </c>
      <c r="J33" s="34">
        <v>-7.52112011781918E-2</v>
      </c>
      <c r="K33" s="34">
        <v>-4.6013955144743997E-2</v>
      </c>
      <c r="L33" s="34">
        <v>-0.309021651899684</v>
      </c>
      <c r="M33" s="34">
        <v>-9.1837392995188297E-2</v>
      </c>
      <c r="N33" s="34">
        <v>-6.5554848416880404E-2</v>
      </c>
      <c r="O33" s="34">
        <v>-0.140637715585086</v>
      </c>
      <c r="P33" s="34">
        <v>-0.14732982331295799</v>
      </c>
      <c r="Q33" s="34">
        <v>-0.19821229301194801</v>
      </c>
      <c r="R33" s="34">
        <v>-0.41490441929029398</v>
      </c>
      <c r="S33" s="34">
        <v>-9.3051237729341096E-2</v>
      </c>
      <c r="T33" s="34">
        <v>-0.29724470786149398</v>
      </c>
      <c r="U33" s="34">
        <v>-0.12410295377674101</v>
      </c>
      <c r="V33" s="34">
        <v>-0.23706363930421001</v>
      </c>
      <c r="W33" s="34">
        <v>-0.25295693392746399</v>
      </c>
      <c r="X33" s="34">
        <v>-0.14083488622588899</v>
      </c>
      <c r="Y33" s="34">
        <v>-0.39281735748151902</v>
      </c>
      <c r="Z33" s="34">
        <v>-0.30796778570120797</v>
      </c>
      <c r="AA33" s="34">
        <v>-6.3244468445873203E-3</v>
      </c>
      <c r="AB33" s="34">
        <v>-0.20169895394586401</v>
      </c>
      <c r="AC33" s="34">
        <v>-0.20160003456560099</v>
      </c>
      <c r="AD33" s="34">
        <v>-3.8299551247319999E-2</v>
      </c>
      <c r="AE33" s="34">
        <v>-5.9951628499547299E-2</v>
      </c>
      <c r="AF33" s="35">
        <f t="shared" si="0"/>
        <v>-0.16423568944835482</v>
      </c>
      <c r="AG33" s="36">
        <f t="shared" si="1"/>
        <v>0.12456067957555229</v>
      </c>
      <c r="AH33" s="37">
        <f t="shared" si="2"/>
        <v>2.0518305164802859</v>
      </c>
      <c r="AI33" s="38">
        <f t="shared" si="3"/>
        <v>-0.2134215836861364</v>
      </c>
      <c r="AJ33" s="36">
        <f t="shared" si="4"/>
        <v>-0.11504979521057324</v>
      </c>
    </row>
    <row r="34" spans="1:36" x14ac:dyDescent="0.4">
      <c r="A34" s="174"/>
      <c r="B34" s="178"/>
      <c r="C34" s="40">
        <v>15</v>
      </c>
      <c r="D34" s="34">
        <v>-4.9450644649880297E-2</v>
      </c>
      <c r="E34" s="34">
        <v>-0.22085733322388901</v>
      </c>
      <c r="F34" s="34">
        <v>-0.107751050125784</v>
      </c>
      <c r="G34" s="34">
        <v>-0.281019629991419</v>
      </c>
      <c r="H34" s="34">
        <v>1.13171642959599E-2</v>
      </c>
      <c r="I34" s="34">
        <v>-0.35315892997186799</v>
      </c>
      <c r="J34" s="34">
        <v>-0.13952123718217899</v>
      </c>
      <c r="K34" s="34">
        <v>-0.106898705070719</v>
      </c>
      <c r="L34" s="34">
        <v>-0.320242255321318</v>
      </c>
      <c r="M34" s="34">
        <v>-8.91005552598471E-2</v>
      </c>
      <c r="N34" s="34">
        <v>-0.111972511406065</v>
      </c>
      <c r="O34" s="34">
        <v>-0.13303128905057801</v>
      </c>
      <c r="P34" s="34">
        <v>-0.26239624457384902</v>
      </c>
      <c r="Q34" s="34">
        <v>-0.39956804337053597</v>
      </c>
      <c r="R34" s="34">
        <v>-0.23734661022801601</v>
      </c>
      <c r="S34" s="34">
        <v>-2.1604756297747899E-2</v>
      </c>
      <c r="T34" s="34">
        <v>-0.27972030468383402</v>
      </c>
      <c r="U34" s="34">
        <v>-4.8672613025971097E-2</v>
      </c>
      <c r="V34" s="34">
        <v>-0.23453153611686101</v>
      </c>
      <c r="W34" s="34">
        <v>-0.187672080134902</v>
      </c>
      <c r="X34" s="34">
        <v>-5.8895634262285002E-2</v>
      </c>
      <c r="Y34" s="34">
        <v>-0.18080638170833599</v>
      </c>
      <c r="Z34" s="34">
        <v>-0.25569628543060202</v>
      </c>
      <c r="AA34" s="34">
        <v>-5.61094984790457E-2</v>
      </c>
      <c r="AB34" s="34">
        <v>-0.20102281680328801</v>
      </c>
      <c r="AC34" s="34">
        <v>-3.0493772451720198E-2</v>
      </c>
      <c r="AD34" s="34">
        <v>-0.26893085230939501</v>
      </c>
      <c r="AE34" s="34">
        <v>4.68832082969328E-2</v>
      </c>
      <c r="AF34" s="35">
        <f t="shared" si="0"/>
        <v>-0.16350968566203725</v>
      </c>
      <c r="AG34" s="36">
        <f t="shared" si="1"/>
        <v>0.11648895406626879</v>
      </c>
      <c r="AH34" s="37">
        <f t="shared" si="2"/>
        <v>2.0518305164802859</v>
      </c>
      <c r="AI34" s="38">
        <f t="shared" si="3"/>
        <v>-0.20950825755564989</v>
      </c>
      <c r="AJ34" s="36">
        <f t="shared" si="4"/>
        <v>-0.11751111376842459</v>
      </c>
    </row>
    <row r="35" spans="1:36" x14ac:dyDescent="0.4">
      <c r="A35" s="174"/>
      <c r="B35" s="178"/>
      <c r="C35" s="40">
        <v>16</v>
      </c>
      <c r="D35" s="34">
        <v>-7.6833009867343094E-2</v>
      </c>
      <c r="E35" s="34">
        <v>-0.19608292817171899</v>
      </c>
      <c r="F35" s="34">
        <v>-0.28466081003743599</v>
      </c>
      <c r="G35" s="34">
        <v>-0.25128106880333601</v>
      </c>
      <c r="H35" s="34">
        <v>-5.62353867546505E-2</v>
      </c>
      <c r="I35" s="34">
        <v>-0.26256266437383102</v>
      </c>
      <c r="J35" s="34">
        <v>-0.286619279604508</v>
      </c>
      <c r="K35" s="34">
        <v>-9.9890851066547201E-2</v>
      </c>
      <c r="L35" s="34">
        <v>-0.23608772965924599</v>
      </c>
      <c r="M35" s="34">
        <v>-3.8254726489910199E-2</v>
      </c>
      <c r="N35" s="34">
        <v>-0.19113093732894901</v>
      </c>
      <c r="O35" s="34">
        <v>-0.122568694449782</v>
      </c>
      <c r="P35" s="34">
        <v>-0.17444965545129701</v>
      </c>
      <c r="Q35" s="34">
        <v>-0.275546409292246</v>
      </c>
      <c r="R35" s="34">
        <v>-0.25782843088830898</v>
      </c>
      <c r="S35" s="34">
        <v>-0.197894384430256</v>
      </c>
      <c r="T35" s="34">
        <v>-0.31240007135029602</v>
      </c>
      <c r="U35" s="34">
        <v>-0.22680339526301899</v>
      </c>
      <c r="V35" s="34">
        <v>-0.28357596332926899</v>
      </c>
      <c r="W35" s="34">
        <v>-0.163200844407242</v>
      </c>
      <c r="X35" s="34">
        <v>-0.22642546625948501</v>
      </c>
      <c r="Y35" s="34">
        <v>-0.12649758585632701</v>
      </c>
      <c r="Z35" s="34">
        <v>-0.137095319939533</v>
      </c>
      <c r="AA35" s="34">
        <v>-0.19345471222762001</v>
      </c>
      <c r="AB35" s="34">
        <v>-0.11474288786435199</v>
      </c>
      <c r="AC35" s="34">
        <v>-0.24655578362099101</v>
      </c>
      <c r="AD35" s="34">
        <v>-0.43441442423974702</v>
      </c>
      <c r="AE35" s="34">
        <v>0.205429889896421</v>
      </c>
      <c r="AF35" s="35">
        <f t="shared" si="0"/>
        <v>-0.1881308403975295</v>
      </c>
      <c r="AG35" s="36">
        <f t="shared" si="1"/>
        <v>0.11657834067596685</v>
      </c>
      <c r="AH35" s="37">
        <f t="shared" si="2"/>
        <v>2.0518305164802859</v>
      </c>
      <c r="AI35" s="38">
        <f t="shared" si="3"/>
        <v>-0.23416470882569757</v>
      </c>
      <c r="AJ35" s="36">
        <f t="shared" si="4"/>
        <v>-0.14209697196936144</v>
      </c>
    </row>
    <row r="36" spans="1:36" x14ac:dyDescent="0.4">
      <c r="A36" s="174"/>
      <c r="B36" s="178"/>
      <c r="C36" s="40">
        <v>17</v>
      </c>
      <c r="D36" s="34">
        <v>-0.13597772690405899</v>
      </c>
      <c r="E36" s="34">
        <v>-0.194543957821323</v>
      </c>
      <c r="F36" s="34">
        <v>-0.18031583188596301</v>
      </c>
      <c r="G36" s="34">
        <v>-0.30648589083980898</v>
      </c>
      <c r="H36" s="34">
        <v>-8.6450995161300101E-3</v>
      </c>
      <c r="I36" s="34">
        <v>-0.210874691289959</v>
      </c>
      <c r="J36" s="34">
        <v>-0.30607418198940101</v>
      </c>
      <c r="K36" s="34">
        <v>-0.177459436901585</v>
      </c>
      <c r="L36" s="34">
        <v>-0.22380740258114401</v>
      </c>
      <c r="M36" s="34">
        <v>-2.02839244927304E-2</v>
      </c>
      <c r="N36" s="34">
        <v>-0.20094718069483899</v>
      </c>
      <c r="O36" s="34">
        <v>-0.121576551858353</v>
      </c>
      <c r="P36" s="34">
        <v>-0.224475954122212</v>
      </c>
      <c r="Q36" s="34">
        <v>-9.4368446915055401E-2</v>
      </c>
      <c r="R36" s="34">
        <v>-0.32479609558647798</v>
      </c>
      <c r="S36" s="34">
        <v>-0.33483838222790002</v>
      </c>
      <c r="T36" s="34">
        <v>-0.51600767419578997</v>
      </c>
      <c r="U36" s="34">
        <v>-0.148211303702311</v>
      </c>
      <c r="V36" s="34">
        <v>-0.28032040208839198</v>
      </c>
      <c r="W36" s="34">
        <v>-0.26207366880639399</v>
      </c>
      <c r="X36" s="34">
        <v>-0.293529401025523</v>
      </c>
      <c r="Y36" s="34">
        <v>-2.1786668103231902E-3</v>
      </c>
      <c r="Z36" s="34">
        <v>-4.4879266276012603E-2</v>
      </c>
      <c r="AA36" s="34">
        <v>-0.329735005085595</v>
      </c>
      <c r="AB36" s="34">
        <v>-7.5382047066568703E-2</v>
      </c>
      <c r="AC36" s="34">
        <v>-0.10843321291459</v>
      </c>
      <c r="AD36" s="34">
        <v>-0.51884023569947102</v>
      </c>
      <c r="AE36" s="34">
        <v>0.307850300916996</v>
      </c>
      <c r="AF36" s="35">
        <f t="shared" si="0"/>
        <v>-0.19061469065646128</v>
      </c>
      <c r="AG36" s="36">
        <f t="shared" si="1"/>
        <v>0.16460044716874447</v>
      </c>
      <c r="AH36" s="37">
        <f t="shared" si="2"/>
        <v>2.0518305164802859</v>
      </c>
      <c r="AI36" s="38">
        <f t="shared" si="3"/>
        <v>-0.25561128680157763</v>
      </c>
      <c r="AJ36" s="36">
        <f t="shared" si="4"/>
        <v>-0.12561809451134492</v>
      </c>
    </row>
    <row r="37" spans="1:36" ht="14.25" thickBot="1" x14ac:dyDescent="0.45">
      <c r="A37" s="175"/>
      <c r="B37" s="179"/>
      <c r="C37" s="41">
        <v>18</v>
      </c>
      <c r="D37" s="42">
        <v>-0.17518903552887299</v>
      </c>
      <c r="E37" s="42">
        <v>-0.25405081136929603</v>
      </c>
      <c r="F37" s="42">
        <v>-5.5078317217976201E-2</v>
      </c>
      <c r="G37" s="42">
        <v>-0.19576908791889</v>
      </c>
      <c r="H37" s="42">
        <v>-2.1066758972864301E-2</v>
      </c>
      <c r="I37" s="42">
        <v>-0.19957506281291101</v>
      </c>
      <c r="J37" s="42">
        <v>-0.19247094998581801</v>
      </c>
      <c r="K37" s="42">
        <v>3.5733626197355699E-2</v>
      </c>
      <c r="L37" s="42">
        <v>-0.34991451770292697</v>
      </c>
      <c r="M37" s="42">
        <v>0.128263714034275</v>
      </c>
      <c r="N37" s="42">
        <v>-8.2733274307159294E-2</v>
      </c>
      <c r="O37" s="42">
        <v>-0.13531622350362199</v>
      </c>
      <c r="P37" s="42">
        <v>-0.15433231826337099</v>
      </c>
      <c r="Q37" s="42">
        <v>-0.16016435807347301</v>
      </c>
      <c r="R37" s="42">
        <v>-0.20853765848613601</v>
      </c>
      <c r="S37" s="42">
        <v>-0.34411523369153901</v>
      </c>
      <c r="T37" s="42">
        <v>-0.52347177184552096</v>
      </c>
      <c r="U37" s="42">
        <v>-7.50111264692776E-2</v>
      </c>
      <c r="V37" s="42">
        <v>-0.27341740649421797</v>
      </c>
      <c r="W37" s="42">
        <v>-0.195829158710807</v>
      </c>
      <c r="X37" s="42">
        <v>-0.45657413712577</v>
      </c>
      <c r="Y37" s="42">
        <v>-1.8224447402971501E-2</v>
      </c>
      <c r="Z37" s="42">
        <v>0.11788888760228999</v>
      </c>
      <c r="AA37" s="42">
        <v>-0.215758888658029</v>
      </c>
      <c r="AB37" s="42">
        <v>-8.6900526244832493E-2</v>
      </c>
      <c r="AC37" s="42">
        <v>-0.13947985229815099</v>
      </c>
      <c r="AD37" s="42">
        <v>-0.491222217588969</v>
      </c>
      <c r="AE37" s="42">
        <v>0.33129835471348201</v>
      </c>
      <c r="AF37" s="43">
        <f t="shared" si="0"/>
        <v>-0.15682209136164285</v>
      </c>
      <c r="AG37" s="44">
        <f t="shared" si="1"/>
        <v>0.18679184793198075</v>
      </c>
      <c r="AH37" s="45">
        <f t="shared" si="2"/>
        <v>2.0518305164802859</v>
      </c>
      <c r="AI37" s="38">
        <f t="shared" si="3"/>
        <v>-0.2305815161509841</v>
      </c>
      <c r="AJ37" s="36">
        <f t="shared" si="4"/>
        <v>-8.3062666572301616E-2</v>
      </c>
    </row>
    <row r="38" spans="1:36" ht="14.25" thickBot="1" x14ac:dyDescent="0.45">
      <c r="A38" s="4"/>
      <c r="B38" s="46"/>
      <c r="C38" s="4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63" t="s">
        <v>9</v>
      </c>
      <c r="AG38" s="164"/>
      <c r="AH38" s="164"/>
      <c r="AI38" s="164"/>
      <c r="AJ38" s="165"/>
    </row>
    <row r="39" spans="1:36" ht="14.25" thickBot="1" x14ac:dyDescent="0.45">
      <c r="A39" s="47" t="s">
        <v>22</v>
      </c>
      <c r="B39" s="48" t="s">
        <v>11</v>
      </c>
      <c r="C39" s="48" t="s">
        <v>12</v>
      </c>
      <c r="D39" s="49">
        <v>1</v>
      </c>
      <c r="E39" s="49">
        <v>2</v>
      </c>
      <c r="F39" s="49">
        <v>3</v>
      </c>
      <c r="G39" s="49">
        <v>4</v>
      </c>
      <c r="H39" s="49">
        <v>5</v>
      </c>
      <c r="I39" s="49">
        <v>6</v>
      </c>
      <c r="J39" s="49">
        <v>7</v>
      </c>
      <c r="K39" s="49">
        <v>8</v>
      </c>
      <c r="L39" s="49">
        <v>9</v>
      </c>
      <c r="M39" s="49">
        <v>10</v>
      </c>
      <c r="N39" s="49">
        <v>11</v>
      </c>
      <c r="O39" s="49">
        <v>12</v>
      </c>
      <c r="P39" s="49">
        <v>13</v>
      </c>
      <c r="Q39" s="49">
        <v>14</v>
      </c>
      <c r="R39" s="49">
        <v>15</v>
      </c>
      <c r="S39" s="49">
        <v>16</v>
      </c>
      <c r="T39" s="49">
        <v>17</v>
      </c>
      <c r="U39" s="49">
        <v>18</v>
      </c>
      <c r="V39" s="49">
        <v>19</v>
      </c>
      <c r="W39" s="49">
        <v>20</v>
      </c>
      <c r="X39" s="49">
        <v>21</v>
      </c>
      <c r="Y39" s="49">
        <v>22</v>
      </c>
      <c r="Z39" s="49">
        <v>23</v>
      </c>
      <c r="AA39" s="49">
        <v>24</v>
      </c>
      <c r="AB39" s="49">
        <v>25</v>
      </c>
      <c r="AC39" s="49">
        <v>26</v>
      </c>
      <c r="AD39" s="49">
        <v>27</v>
      </c>
      <c r="AE39" s="49">
        <v>28</v>
      </c>
      <c r="AF39" s="50" t="s">
        <v>13</v>
      </c>
      <c r="AG39" s="51" t="s">
        <v>14</v>
      </c>
      <c r="AH39" s="52" t="s">
        <v>15</v>
      </c>
      <c r="AI39" s="49" t="s">
        <v>16</v>
      </c>
      <c r="AJ39" s="51" t="s">
        <v>17</v>
      </c>
    </row>
    <row r="40" spans="1:36" x14ac:dyDescent="0.4">
      <c r="A40" s="187" t="s">
        <v>3</v>
      </c>
      <c r="B40" s="53"/>
      <c r="C40" s="53">
        <v>1</v>
      </c>
      <c r="D40" s="54">
        <v>-0.120434027079795</v>
      </c>
      <c r="E40" s="54">
        <v>-0.42557658086592198</v>
      </c>
      <c r="F40" s="54">
        <v>0.100545055839509</v>
      </c>
      <c r="G40" s="54">
        <v>-0.21300424949475799</v>
      </c>
      <c r="H40" s="54">
        <v>-0.13286506851660801</v>
      </c>
      <c r="I40" s="54">
        <v>-0.235368786037321</v>
      </c>
      <c r="J40" s="54">
        <v>-0.298174011782876</v>
      </c>
      <c r="K40" s="54">
        <v>-0.34271828732779802</v>
      </c>
      <c r="L40" s="54">
        <v>-0.34006467899587201</v>
      </c>
      <c r="M40" s="54">
        <v>-0.12814710749386499</v>
      </c>
      <c r="N40" s="54">
        <v>-0.28647177572946703</v>
      </c>
      <c r="O40" s="54">
        <v>-0.351515521307248</v>
      </c>
      <c r="P40" s="54">
        <v>-0.20873402370504801</v>
      </c>
      <c r="Q40" s="54">
        <v>-0.17333698970158101</v>
      </c>
      <c r="R40" s="54">
        <v>-0.45180063694662898</v>
      </c>
      <c r="S40" s="54">
        <v>-0.24951245469425401</v>
      </c>
      <c r="T40" s="54">
        <v>-0.411291881471754</v>
      </c>
      <c r="U40" s="54">
        <v>-7.0501067152690597E-3</v>
      </c>
      <c r="V40" s="54">
        <v>-0.173755121439015</v>
      </c>
      <c r="W40" s="54">
        <v>-0.53647325981305005</v>
      </c>
      <c r="X40" s="54">
        <v>-0.24456603069357599</v>
      </c>
      <c r="Y40" s="54">
        <v>-0.184370343805253</v>
      </c>
      <c r="Z40" s="54">
        <v>8.5032441219155402E-2</v>
      </c>
      <c r="AA40" s="54">
        <v>-0.221620791077418</v>
      </c>
      <c r="AB40" s="54">
        <v>-0.193018278064191</v>
      </c>
      <c r="AC40" s="54">
        <v>-0.15921086294873901</v>
      </c>
      <c r="AD40" s="54">
        <v>-0.39813421698909202</v>
      </c>
      <c r="AE40" s="54">
        <v>0.118163712583324</v>
      </c>
      <c r="AF40" s="55">
        <f>AVERAGE(D40:AE40)</f>
        <v>-0.220838352966229</v>
      </c>
      <c r="AG40" s="56">
        <f>STDEV(D40:AE40)</f>
        <v>0.1627417527658109</v>
      </c>
      <c r="AH40" s="57">
        <f>TINV(0.05,27)</f>
        <v>2.0518305164802859</v>
      </c>
      <c r="AI40" s="55">
        <f>AF40-AH40*AG40/(27)^(1/2)</f>
        <v>-0.28510099722031068</v>
      </c>
      <c r="AJ40" s="56">
        <f>AF40+AH40*AG40/(27)^(1/2)</f>
        <v>-0.15657570871214735</v>
      </c>
    </row>
    <row r="41" spans="1:36" x14ac:dyDescent="0.4">
      <c r="A41" s="188"/>
      <c r="B41" s="58"/>
      <c r="C41" s="58">
        <v>2</v>
      </c>
      <c r="D41" s="54">
        <v>-0.110189391739652</v>
      </c>
      <c r="E41" s="54">
        <v>-0.46683765647055903</v>
      </c>
      <c r="F41" s="54">
        <v>-0.14952112448887001</v>
      </c>
      <c r="G41" s="54">
        <v>-0.31569459393196497</v>
      </c>
      <c r="H41" s="54">
        <v>-0.119799586076226</v>
      </c>
      <c r="I41" s="54">
        <v>-0.27514197104136401</v>
      </c>
      <c r="J41" s="54">
        <v>-0.24195767311834901</v>
      </c>
      <c r="K41" s="54">
        <v>-0.17383563228587201</v>
      </c>
      <c r="L41" s="54">
        <v>-0.41171104214590998</v>
      </c>
      <c r="M41" s="54">
        <v>-6.4388165982620597E-3</v>
      </c>
      <c r="N41" s="54">
        <v>-6.3864859214731895E-2</v>
      </c>
      <c r="O41" s="54">
        <v>-0.36564893071196902</v>
      </c>
      <c r="P41" s="54">
        <v>-0.19274588571911899</v>
      </c>
      <c r="Q41" s="54">
        <v>-0.20759270337062199</v>
      </c>
      <c r="R41" s="54">
        <v>-0.50654660095776105</v>
      </c>
      <c r="S41" s="54">
        <v>-0.188911250720153</v>
      </c>
      <c r="T41" s="54">
        <v>-0.55143335594392795</v>
      </c>
      <c r="U41" s="54">
        <v>-0.43155985164055699</v>
      </c>
      <c r="V41" s="54">
        <v>-0.11719144514582</v>
      </c>
      <c r="W41" s="54">
        <v>-0.46173750138743203</v>
      </c>
      <c r="X41" s="54">
        <v>-0.26472654418799302</v>
      </c>
      <c r="Y41" s="54">
        <v>-0.176680259632405</v>
      </c>
      <c r="Z41" s="54">
        <v>2.6678760655897801E-2</v>
      </c>
      <c r="AA41" s="54">
        <v>-0.17120990760317001</v>
      </c>
      <c r="AB41" s="54">
        <v>-0.25778649024080302</v>
      </c>
      <c r="AC41" s="54">
        <v>-0.10418839606771201</v>
      </c>
      <c r="AD41" s="54">
        <v>-0.41019389807964002</v>
      </c>
      <c r="AE41" s="54">
        <v>-2.4340989173666099E-2</v>
      </c>
      <c r="AF41" s="55">
        <f>AVERAGE(D41:AE41)</f>
        <v>-0.24074312846566473</v>
      </c>
      <c r="AG41" s="56">
        <f>STDEV(D41:AE41)</f>
        <v>0.15901318557277117</v>
      </c>
      <c r="AH41" s="57">
        <f t="shared" ref="AH41:AH75" si="5">TINV(0.05,27)</f>
        <v>2.0518305164802859</v>
      </c>
      <c r="AI41" s="55">
        <f t="shared" ref="AI41:AI75" si="6">AF41-AH41*AG41/(27)^(1/2)</f>
        <v>-0.30353345487241096</v>
      </c>
      <c r="AJ41" s="56">
        <f t="shared" ref="AJ41:AJ75" si="7">AF41+AH41*AG41/(27)^(1/2)</f>
        <v>-0.1779528020589185</v>
      </c>
    </row>
    <row r="42" spans="1:36" x14ac:dyDescent="0.4">
      <c r="A42" s="188"/>
      <c r="B42" s="58"/>
      <c r="C42" s="58">
        <v>3</v>
      </c>
      <c r="D42" s="54">
        <v>-1.48308965098493E-2</v>
      </c>
      <c r="E42" s="54">
        <v>-9.0020732482244598E-2</v>
      </c>
      <c r="F42" s="54">
        <v>0.21560767982506901</v>
      </c>
      <c r="G42" s="54">
        <v>1.9897119447279E-2</v>
      </c>
      <c r="H42" s="54">
        <v>3.2351067771060102E-2</v>
      </c>
      <c r="I42" s="54">
        <v>-0.20680442257736301</v>
      </c>
      <c r="J42" s="54">
        <v>-0.21807890272359001</v>
      </c>
      <c r="K42" s="54">
        <v>-0.23160708233983399</v>
      </c>
      <c r="L42" s="54">
        <v>-0.19415416474247099</v>
      </c>
      <c r="M42" s="54">
        <v>0.21660323103513601</v>
      </c>
      <c r="N42" s="54">
        <v>-0.225122475829238</v>
      </c>
      <c r="O42" s="54">
        <v>-0.32997178308139002</v>
      </c>
      <c r="P42" s="54">
        <v>3.6506248401209897E-2</v>
      </c>
      <c r="Q42" s="54">
        <v>-3.6901855603105098E-2</v>
      </c>
      <c r="R42" s="54">
        <v>-8.0815539723062102E-2</v>
      </c>
      <c r="S42" s="54">
        <v>-9.4590765460537796E-2</v>
      </c>
      <c r="T42" s="54">
        <v>-0.16275314898005799</v>
      </c>
      <c r="U42" s="54">
        <v>-0.32927586525802599</v>
      </c>
      <c r="V42" s="54">
        <v>-4.5918180111485102E-2</v>
      </c>
      <c r="W42" s="54">
        <v>-0.294166137956963</v>
      </c>
      <c r="X42" s="54">
        <v>-8.9704741196811696E-2</v>
      </c>
      <c r="Y42" s="54">
        <v>9.6704402051784599E-2</v>
      </c>
      <c r="Z42" s="54">
        <v>0.12092034570135</v>
      </c>
      <c r="AA42" s="54">
        <v>-5.4365737044648199E-2</v>
      </c>
      <c r="AB42" s="54">
        <v>-6.8478067723717104E-2</v>
      </c>
      <c r="AC42" s="54">
        <v>3.3153049312900799E-2</v>
      </c>
      <c r="AD42" s="54">
        <v>-0.204699491380537</v>
      </c>
      <c r="AE42" s="54">
        <v>0.37842440038609398</v>
      </c>
      <c r="AF42" s="55">
        <f t="shared" ref="AF42:AF75" si="8">AVERAGE(D42:AE42)</f>
        <v>-6.5074730242608819E-2</v>
      </c>
      <c r="AG42" s="56">
        <f t="shared" ref="AG42:AG75" si="9">STDEV(D42:AE42)</f>
        <v>0.17142334604548445</v>
      </c>
      <c r="AH42" s="57">
        <f t="shared" si="5"/>
        <v>2.0518305164802859</v>
      </c>
      <c r="AI42" s="55">
        <f t="shared" si="6"/>
        <v>-0.13276551835657086</v>
      </c>
      <c r="AJ42" s="56">
        <f t="shared" si="7"/>
        <v>2.6160578713532168E-3</v>
      </c>
    </row>
    <row r="43" spans="1:36" x14ac:dyDescent="0.4">
      <c r="A43" s="188"/>
      <c r="B43" s="190" t="s">
        <v>18</v>
      </c>
      <c r="C43" s="58">
        <v>4</v>
      </c>
      <c r="D43" s="54">
        <v>0.207304961054006</v>
      </c>
      <c r="E43" s="54">
        <v>0.37128171746959898</v>
      </c>
      <c r="F43" s="54">
        <v>0.50469240330474396</v>
      </c>
      <c r="G43" s="54">
        <v>0.427114586684467</v>
      </c>
      <c r="H43" s="54">
        <v>0.304921918110451</v>
      </c>
      <c r="I43" s="54">
        <v>-0.22562742267994901</v>
      </c>
      <c r="J43" s="54">
        <v>0.23262248831601001</v>
      </c>
      <c r="K43" s="54">
        <v>0.23802490061082099</v>
      </c>
      <c r="L43" s="54">
        <v>0.34429988593454602</v>
      </c>
      <c r="M43" s="54">
        <v>0.292294749705728</v>
      </c>
      <c r="N43" s="54">
        <v>-7.7580682325304906E-2</v>
      </c>
      <c r="O43" s="54">
        <v>0.38661896606132001</v>
      </c>
      <c r="P43" s="54">
        <v>0.275676949605411</v>
      </c>
      <c r="Q43" s="54">
        <v>0.21834033698028099</v>
      </c>
      <c r="R43" s="54">
        <v>0.496829772281913</v>
      </c>
      <c r="S43" s="54">
        <v>0.39141792353657701</v>
      </c>
      <c r="T43" s="54">
        <v>0.39998523358922</v>
      </c>
      <c r="U43" s="54">
        <v>-8.9109888358237299E-2</v>
      </c>
      <c r="V43" s="54">
        <v>0.24933511142440001</v>
      </c>
      <c r="W43" s="54">
        <v>0.35094770571496597</v>
      </c>
      <c r="X43" s="54">
        <v>0.193149047245782</v>
      </c>
      <c r="Y43" s="54">
        <v>0.67381839160622903</v>
      </c>
      <c r="Z43" s="54">
        <v>0.38170057246156802</v>
      </c>
      <c r="AA43" s="54">
        <v>0.21521765494667</v>
      </c>
      <c r="AB43" s="54">
        <v>0.31751494239150302</v>
      </c>
      <c r="AC43" s="54">
        <v>0.28754472789753999</v>
      </c>
      <c r="AD43" s="54">
        <v>0.25146286330770201</v>
      </c>
      <c r="AE43" s="54">
        <v>0.60963100833879402</v>
      </c>
      <c r="AF43" s="55">
        <f t="shared" si="8"/>
        <v>0.29390824375774133</v>
      </c>
      <c r="AG43" s="56">
        <f t="shared" si="9"/>
        <v>0.19168909385486388</v>
      </c>
      <c r="AH43" s="57">
        <f t="shared" si="5"/>
        <v>2.0518305164802859</v>
      </c>
      <c r="AI43" s="55">
        <f t="shared" si="6"/>
        <v>0.2182150191461758</v>
      </c>
      <c r="AJ43" s="56">
        <f t="shared" si="7"/>
        <v>0.36960146836930685</v>
      </c>
    </row>
    <row r="44" spans="1:36" x14ac:dyDescent="0.4">
      <c r="A44" s="188"/>
      <c r="B44" s="191"/>
      <c r="C44" s="58">
        <v>5</v>
      </c>
      <c r="D44" s="54">
        <v>0.30272301811722002</v>
      </c>
      <c r="E44" s="54">
        <v>0.57236149807005099</v>
      </c>
      <c r="F44" s="54">
        <v>0.62114680686362</v>
      </c>
      <c r="G44" s="54">
        <v>0.62770545900794095</v>
      </c>
      <c r="H44" s="54">
        <v>0.453588443306983</v>
      </c>
      <c r="I44" s="54">
        <v>-0.189015969045328</v>
      </c>
      <c r="J44" s="54">
        <v>0.34466689295571401</v>
      </c>
      <c r="K44" s="54">
        <v>0.51479860807147004</v>
      </c>
      <c r="L44" s="54">
        <v>0.68601470626521099</v>
      </c>
      <c r="M44" s="54">
        <v>0.40172944027168001</v>
      </c>
      <c r="N44" s="54">
        <v>0.56121150050642499</v>
      </c>
      <c r="O44" s="54">
        <v>0.57337120449605505</v>
      </c>
      <c r="P44" s="54">
        <v>0.33583995755450902</v>
      </c>
      <c r="Q44" s="54">
        <v>0.34052670202801399</v>
      </c>
      <c r="R44" s="54">
        <v>0.72874620245182997</v>
      </c>
      <c r="S44" s="54">
        <v>0.48000739252874902</v>
      </c>
      <c r="T44" s="54">
        <v>0.85698521998685295</v>
      </c>
      <c r="U44" s="54">
        <v>-2.6536822922892601E-2</v>
      </c>
      <c r="V44" s="54">
        <v>0.38299523015048398</v>
      </c>
      <c r="W44" s="54">
        <v>0.47064386446305601</v>
      </c>
      <c r="X44" s="54">
        <v>0.50297867321360401</v>
      </c>
      <c r="Y44" s="54">
        <v>0.83481713526340595</v>
      </c>
      <c r="Z44" s="54">
        <v>0.75000871200376995</v>
      </c>
      <c r="AA44" s="54">
        <v>0.47181836132035898</v>
      </c>
      <c r="AB44" s="54">
        <v>0.423767338885156</v>
      </c>
      <c r="AC44" s="54">
        <v>0.47204445342934698</v>
      </c>
      <c r="AD44" s="54">
        <v>0.30180711442173402</v>
      </c>
      <c r="AE44" s="54">
        <v>0.52489231813834103</v>
      </c>
      <c r="AF44" s="55">
        <f t="shared" si="8"/>
        <v>0.47577298077869151</v>
      </c>
      <c r="AG44" s="56">
        <f t="shared" si="9"/>
        <v>0.22439856377363959</v>
      </c>
      <c r="AH44" s="57">
        <f t="shared" si="5"/>
        <v>2.0518305164802859</v>
      </c>
      <c r="AI44" s="55">
        <f t="shared" si="6"/>
        <v>0.38716360531212879</v>
      </c>
      <c r="AJ44" s="56">
        <f t="shared" si="7"/>
        <v>0.56438235624525424</v>
      </c>
    </row>
    <row r="45" spans="1:36" x14ac:dyDescent="0.4">
      <c r="A45" s="188"/>
      <c r="B45" s="190" t="s">
        <v>19</v>
      </c>
      <c r="C45" s="58">
        <v>6</v>
      </c>
      <c r="D45" s="54">
        <v>0.445577757228937</v>
      </c>
      <c r="E45" s="54">
        <v>0.48376798800531101</v>
      </c>
      <c r="F45" s="54">
        <v>0.44646520152531299</v>
      </c>
      <c r="G45" s="54">
        <v>0.61026277445807797</v>
      </c>
      <c r="H45" s="54">
        <v>0.40033104821668503</v>
      </c>
      <c r="I45" s="54">
        <v>0.11852495111516299</v>
      </c>
      <c r="J45" s="54">
        <v>0.250899038478749</v>
      </c>
      <c r="K45" s="54">
        <v>0.377974091066894</v>
      </c>
      <c r="L45" s="54">
        <v>0.729083550925267</v>
      </c>
      <c r="M45" s="54">
        <v>0.50126670169348098</v>
      </c>
      <c r="N45" s="54">
        <v>0.45952363666987001</v>
      </c>
      <c r="O45" s="54">
        <v>0.37517478889003503</v>
      </c>
      <c r="P45" s="54">
        <v>0.18161340445485</v>
      </c>
      <c r="Q45" s="54">
        <v>0.46937744200531001</v>
      </c>
      <c r="R45" s="54">
        <v>0.61925427442963599</v>
      </c>
      <c r="S45" s="54">
        <v>0.507012719313226</v>
      </c>
      <c r="T45" s="54">
        <v>0.69583225188722497</v>
      </c>
      <c r="U45" s="54">
        <v>-0.49963571612140301</v>
      </c>
      <c r="V45" s="54">
        <v>0.31824783624984399</v>
      </c>
      <c r="W45" s="54">
        <v>0.61718787891275895</v>
      </c>
      <c r="X45" s="54">
        <v>0.60281781791684297</v>
      </c>
      <c r="Y45" s="54">
        <v>0.77552681880695196</v>
      </c>
      <c r="Z45" s="54">
        <v>0.48998429441567098</v>
      </c>
      <c r="AA45" s="54">
        <v>0.57609481794769102</v>
      </c>
      <c r="AB45" s="54">
        <v>0.45047645620918703</v>
      </c>
      <c r="AC45" s="54">
        <v>0.49289931038865098</v>
      </c>
      <c r="AD45" s="54">
        <v>0.36504846592302398</v>
      </c>
      <c r="AE45" s="54">
        <v>0.54324467410062005</v>
      </c>
      <c r="AF45" s="55">
        <f>AVERAGE(D45:AE45)</f>
        <v>0.44299408125406686</v>
      </c>
      <c r="AG45" s="56">
        <f t="shared" si="9"/>
        <v>0.2392338842283307</v>
      </c>
      <c r="AH45" s="57">
        <f t="shared" si="5"/>
        <v>2.0518305164802859</v>
      </c>
      <c r="AI45" s="55">
        <f t="shared" si="6"/>
        <v>0.34852660911241784</v>
      </c>
      <c r="AJ45" s="56">
        <f t="shared" si="7"/>
        <v>0.53746155339571589</v>
      </c>
    </row>
    <row r="46" spans="1:36" x14ac:dyDescent="0.4">
      <c r="A46" s="188"/>
      <c r="B46" s="192"/>
      <c r="C46" s="58">
        <v>7</v>
      </c>
      <c r="D46" s="54">
        <v>0.46016608817234</v>
      </c>
      <c r="E46" s="54">
        <v>0.51980346618711304</v>
      </c>
      <c r="F46" s="54">
        <v>0.34674342615770098</v>
      </c>
      <c r="G46" s="54">
        <v>0.53858164699840905</v>
      </c>
      <c r="H46" s="54">
        <v>0.311205792998407</v>
      </c>
      <c r="I46" s="54">
        <v>0.42764149374903798</v>
      </c>
      <c r="J46" s="54">
        <v>0.17639819838148199</v>
      </c>
      <c r="K46" s="54">
        <v>0.33477141483948403</v>
      </c>
      <c r="L46" s="54">
        <v>0.408778496355367</v>
      </c>
      <c r="M46" s="54">
        <v>0.36414102707683998</v>
      </c>
      <c r="N46" s="54">
        <v>0.28626053420215603</v>
      </c>
      <c r="O46" s="54">
        <v>0.242427000118693</v>
      </c>
      <c r="P46" s="54">
        <v>-0.16553644348013499</v>
      </c>
      <c r="Q46" s="54">
        <v>0.34956994596236302</v>
      </c>
      <c r="R46" s="54">
        <v>0.44715824879088401</v>
      </c>
      <c r="S46" s="54">
        <v>9.1332793308637805E-2</v>
      </c>
      <c r="T46" s="54">
        <v>0.44103546650953201</v>
      </c>
      <c r="U46" s="54">
        <v>0.103047813182718</v>
      </c>
      <c r="V46" s="54">
        <v>5.2438925635911397E-2</v>
      </c>
      <c r="W46" s="54">
        <v>0.52409893235395</v>
      </c>
      <c r="X46" s="54">
        <v>0.54451289924455104</v>
      </c>
      <c r="Y46" s="54">
        <v>0.43926109960182202</v>
      </c>
      <c r="Z46" s="54">
        <v>-0.102069422453794</v>
      </c>
      <c r="AA46" s="54">
        <v>0.42895771428139501</v>
      </c>
      <c r="AB46" s="54">
        <v>0.48629809591427797</v>
      </c>
      <c r="AC46" s="54">
        <v>0.28297117026718999</v>
      </c>
      <c r="AD46" s="54">
        <v>0.33210026559609601</v>
      </c>
      <c r="AE46" s="54">
        <v>-0.35308833036182802</v>
      </c>
      <c r="AF46" s="55">
        <f t="shared" si="8"/>
        <v>0.29710741998537865</v>
      </c>
      <c r="AG46" s="56">
        <f t="shared" si="9"/>
        <v>0.22441545660689463</v>
      </c>
      <c r="AH46" s="57">
        <f t="shared" si="5"/>
        <v>2.0518305164802859</v>
      </c>
      <c r="AI46" s="55">
        <f t="shared" si="6"/>
        <v>0.20849137396184172</v>
      </c>
      <c r="AJ46" s="56">
        <f t="shared" si="7"/>
        <v>0.38572346600891561</v>
      </c>
    </row>
    <row r="47" spans="1:36" x14ac:dyDescent="0.4">
      <c r="A47" s="188"/>
      <c r="B47" s="192"/>
      <c r="C47" s="58">
        <v>8</v>
      </c>
      <c r="D47" s="54">
        <v>0.24667533291339699</v>
      </c>
      <c r="E47" s="54">
        <v>0.46830263609491801</v>
      </c>
      <c r="F47" s="54">
        <v>0.32587892305404798</v>
      </c>
      <c r="G47" s="54">
        <v>0.43713720860043198</v>
      </c>
      <c r="H47" s="54">
        <v>8.1626601546162095E-2</v>
      </c>
      <c r="I47" s="54">
        <v>0.225952155353496</v>
      </c>
      <c r="J47" s="54">
        <v>-2.22785322393548E-2</v>
      </c>
      <c r="K47" s="54">
        <v>1.53563018313604E-2</v>
      </c>
      <c r="L47" s="54">
        <v>5.9023327310995903E-2</v>
      </c>
      <c r="M47" s="54">
        <v>0.332348039958205</v>
      </c>
      <c r="N47" s="54">
        <v>0.120807839369433</v>
      </c>
      <c r="O47" s="54">
        <v>-7.4106276246737907E-2</v>
      </c>
      <c r="P47" s="54">
        <v>-9.15468938007961E-2</v>
      </c>
      <c r="Q47" s="54">
        <v>0.18659988407077299</v>
      </c>
      <c r="R47" s="54">
        <v>0.25447449304203901</v>
      </c>
      <c r="S47" s="54">
        <v>-9.2990998865474205E-3</v>
      </c>
      <c r="T47" s="54">
        <v>0.50822036588631603</v>
      </c>
      <c r="U47" s="54">
        <v>0.258842873969584</v>
      </c>
      <c r="V47" s="54">
        <v>-0.13041491048834</v>
      </c>
      <c r="W47" s="54">
        <v>0.40606991725833502</v>
      </c>
      <c r="X47" s="54">
        <v>0.36321100709409299</v>
      </c>
      <c r="Y47" s="54">
        <v>0.22229416152255499</v>
      </c>
      <c r="Z47" s="54">
        <v>-7.4234795012287594E-2</v>
      </c>
      <c r="AA47" s="54">
        <v>8.1715335262330699E-2</v>
      </c>
      <c r="AB47" s="54">
        <v>0.38857414899946702</v>
      </c>
      <c r="AC47" s="54">
        <v>-7.3241613475602194E-2</v>
      </c>
      <c r="AD47" s="54">
        <v>0.167039378521494</v>
      </c>
      <c r="AE47" s="54">
        <v>-0.29201488675165799</v>
      </c>
      <c r="AF47" s="55">
        <f t="shared" si="8"/>
        <v>0.15653617584850396</v>
      </c>
      <c r="AG47" s="56">
        <f t="shared" si="9"/>
        <v>0.20746292457811263</v>
      </c>
      <c r="AH47" s="57">
        <f t="shared" si="5"/>
        <v>2.0518305164802859</v>
      </c>
      <c r="AI47" s="55">
        <f t="shared" si="6"/>
        <v>7.4614260350519601E-2</v>
      </c>
      <c r="AJ47" s="56">
        <f t="shared" si="7"/>
        <v>0.23845809134648832</v>
      </c>
    </row>
    <row r="48" spans="1:36" x14ac:dyDescent="0.4">
      <c r="A48" s="188"/>
      <c r="B48" s="191"/>
      <c r="C48" s="58">
        <v>9</v>
      </c>
      <c r="D48" s="54">
        <v>0.23485230898891901</v>
      </c>
      <c r="E48" s="54">
        <v>0.70360554895012195</v>
      </c>
      <c r="F48" s="54">
        <v>0.30249426929462597</v>
      </c>
      <c r="G48" s="54">
        <v>0.43279038086340899</v>
      </c>
      <c r="H48" s="54">
        <v>0.181608650506561</v>
      </c>
      <c r="I48" s="54">
        <v>0.27710473578494499</v>
      </c>
      <c r="J48" s="54">
        <v>0.19551471271996901</v>
      </c>
      <c r="K48" s="54">
        <v>3.2668607228330801E-2</v>
      </c>
      <c r="L48" s="54">
        <v>0.16703824452632399</v>
      </c>
      <c r="M48" s="54">
        <v>0.230813484803888</v>
      </c>
      <c r="N48" s="54">
        <v>0.15945611316688199</v>
      </c>
      <c r="O48" s="54">
        <v>2.79650271921809E-2</v>
      </c>
      <c r="P48" s="54">
        <v>0.232301723402869</v>
      </c>
      <c r="Q48" s="54">
        <v>0.17753219515836299</v>
      </c>
      <c r="R48" s="54">
        <v>0.385772016899181</v>
      </c>
      <c r="S48" s="54">
        <v>0.181796307052039</v>
      </c>
      <c r="T48" s="54">
        <v>0.57744804936572702</v>
      </c>
      <c r="U48" s="54">
        <v>0.20126203859615499</v>
      </c>
      <c r="V48" s="54">
        <v>2.1200005216613201E-2</v>
      </c>
      <c r="W48" s="54">
        <v>0.50687170668292902</v>
      </c>
      <c r="X48" s="54">
        <v>0.234255085379487</v>
      </c>
      <c r="Y48" s="54">
        <v>0.41119586744198899</v>
      </c>
      <c r="Z48" s="54">
        <v>4.2472566114270097E-2</v>
      </c>
      <c r="AA48" s="54">
        <v>0.20561402448978999</v>
      </c>
      <c r="AB48" s="54">
        <v>0.42681290339454803</v>
      </c>
      <c r="AC48" s="54">
        <v>-6.6504716311157994E-2</v>
      </c>
      <c r="AD48" s="54">
        <v>0.25590355377211399</v>
      </c>
      <c r="AE48" s="54">
        <v>-2.85037915859476E-2</v>
      </c>
      <c r="AF48" s="55">
        <f t="shared" si="8"/>
        <v>0.23969077211054021</v>
      </c>
      <c r="AG48" s="56">
        <f t="shared" si="9"/>
        <v>0.18221166276339334</v>
      </c>
      <c r="AH48" s="57">
        <f t="shared" si="5"/>
        <v>2.0518305164802859</v>
      </c>
      <c r="AI48" s="55">
        <f t="shared" si="6"/>
        <v>0.16773994778853146</v>
      </c>
      <c r="AJ48" s="56">
        <f t="shared" si="7"/>
        <v>0.31164159643254896</v>
      </c>
    </row>
    <row r="49" spans="1:36" x14ac:dyDescent="0.4">
      <c r="A49" s="188"/>
      <c r="B49" s="190" t="s">
        <v>20</v>
      </c>
      <c r="C49" s="58">
        <v>10</v>
      </c>
      <c r="D49" s="54">
        <v>0.48926636200787299</v>
      </c>
      <c r="E49" s="54">
        <v>0.75265971204088</v>
      </c>
      <c r="F49" s="54">
        <v>0.54756426853037898</v>
      </c>
      <c r="G49" s="54">
        <v>0.55779628680411897</v>
      </c>
      <c r="H49" s="54">
        <v>0.37893488771709999</v>
      </c>
      <c r="I49" s="54">
        <v>0.68189981890695595</v>
      </c>
      <c r="J49" s="54">
        <v>0.37717086380664</v>
      </c>
      <c r="K49" s="54">
        <v>0.32519236784939598</v>
      </c>
      <c r="L49" s="54">
        <v>0.485878584408098</v>
      </c>
      <c r="M49" s="54">
        <v>0.45546860251790799</v>
      </c>
      <c r="N49" s="54">
        <v>0.354899154410588</v>
      </c>
      <c r="O49" s="54">
        <v>0.28684845019995397</v>
      </c>
      <c r="P49" s="54">
        <v>0.47064341004482901</v>
      </c>
      <c r="Q49" s="54">
        <v>0.55938973390132296</v>
      </c>
      <c r="R49" s="54">
        <v>0.67663894751117903</v>
      </c>
      <c r="S49" s="54">
        <v>0.43755442584925602</v>
      </c>
      <c r="T49" s="54">
        <v>0.92903389103662404</v>
      </c>
      <c r="U49" s="54">
        <v>0.59187567599867896</v>
      </c>
      <c r="V49" s="54">
        <v>0.428094525940309</v>
      </c>
      <c r="W49" s="54">
        <v>0.64626585949795801</v>
      </c>
      <c r="X49" s="54">
        <v>0.47495049194302502</v>
      </c>
      <c r="Y49" s="54">
        <v>0.75286206120803401</v>
      </c>
      <c r="Z49" s="54">
        <v>0.187978862936418</v>
      </c>
      <c r="AA49" s="54">
        <v>0.48737979956065602</v>
      </c>
      <c r="AB49" s="54">
        <v>0.50343940434269097</v>
      </c>
      <c r="AC49" s="54">
        <v>0.214297746376402</v>
      </c>
      <c r="AD49" s="54">
        <v>0.38555312263130698</v>
      </c>
      <c r="AE49" s="54">
        <v>0.47799671520674802</v>
      </c>
      <c r="AF49" s="55">
        <f t="shared" si="8"/>
        <v>0.49705478689947619</v>
      </c>
      <c r="AG49" s="56">
        <f t="shared" si="9"/>
        <v>0.16635964776919288</v>
      </c>
      <c r="AH49" s="57">
        <f t="shared" si="5"/>
        <v>2.0518305164802859</v>
      </c>
      <c r="AI49" s="55">
        <f t="shared" si="6"/>
        <v>0.43136352647529885</v>
      </c>
      <c r="AJ49" s="56">
        <f t="shared" si="7"/>
        <v>0.56274604732365352</v>
      </c>
    </row>
    <row r="50" spans="1:36" x14ac:dyDescent="0.4">
      <c r="A50" s="188"/>
      <c r="B50" s="191"/>
      <c r="C50" s="58">
        <v>11</v>
      </c>
      <c r="D50" s="54">
        <v>0.37851545108409801</v>
      </c>
      <c r="E50" s="54">
        <v>0.46038872554703397</v>
      </c>
      <c r="F50" s="54">
        <v>0.294699384708138</v>
      </c>
      <c r="G50" s="54">
        <v>0.57260872527106699</v>
      </c>
      <c r="H50" s="54">
        <v>8.4892972156254104E-2</v>
      </c>
      <c r="I50" s="54">
        <v>3.9044074945621697E-2</v>
      </c>
      <c r="J50" s="54">
        <v>0.29998779991744501</v>
      </c>
      <c r="K50" s="54">
        <v>0.56491837941447898</v>
      </c>
      <c r="L50" s="54">
        <v>0.73590849808921599</v>
      </c>
      <c r="M50" s="54">
        <v>0.125415312265445</v>
      </c>
      <c r="N50" s="54">
        <v>0.331751843391003</v>
      </c>
      <c r="O50" s="54">
        <v>0.399377878991174</v>
      </c>
      <c r="P50" s="54">
        <v>0.353752356770002</v>
      </c>
      <c r="Q50" s="54">
        <v>0.43839617155462901</v>
      </c>
      <c r="R50" s="54">
        <v>0.37620307191843899</v>
      </c>
      <c r="S50" s="54">
        <v>0.24701418905310299</v>
      </c>
      <c r="T50" s="54">
        <v>1.01447414675949</v>
      </c>
      <c r="U50" s="54">
        <v>0.45694363960890799</v>
      </c>
      <c r="V50" s="54">
        <v>0.28703411927023098</v>
      </c>
      <c r="W50" s="54">
        <v>0.59531605808535903</v>
      </c>
      <c r="X50" s="54">
        <v>0.41373717896672701</v>
      </c>
      <c r="Y50" s="54">
        <v>0.52032566987321605</v>
      </c>
      <c r="Z50" s="54">
        <v>0.171220749223948</v>
      </c>
      <c r="AA50" s="54">
        <v>0.39475219098750303</v>
      </c>
      <c r="AB50" s="54">
        <v>0.10898649281263301</v>
      </c>
      <c r="AC50" s="54">
        <v>0.21875322418234999</v>
      </c>
      <c r="AD50" s="54">
        <v>0.35199713996827597</v>
      </c>
      <c r="AE50" s="54">
        <v>0.30788485813984301</v>
      </c>
      <c r="AF50" s="55">
        <f t="shared" si="8"/>
        <v>0.37658215367698694</v>
      </c>
      <c r="AG50" s="56">
        <f t="shared" si="9"/>
        <v>0.20583928116080666</v>
      </c>
      <c r="AH50" s="57">
        <f t="shared" si="5"/>
        <v>2.0518305164802859</v>
      </c>
      <c r="AI50" s="55">
        <f t="shared" si="6"/>
        <v>0.2953013743198426</v>
      </c>
      <c r="AJ50" s="56">
        <f t="shared" si="7"/>
        <v>0.45786293303413128</v>
      </c>
    </row>
    <row r="51" spans="1:36" x14ac:dyDescent="0.4">
      <c r="A51" s="188"/>
      <c r="B51" s="190" t="s">
        <v>21</v>
      </c>
      <c r="C51" s="59">
        <v>12</v>
      </c>
      <c r="D51" s="54">
        <v>0.19348661571152001</v>
      </c>
      <c r="E51" s="54">
        <v>0.143802097865915</v>
      </c>
      <c r="F51" s="54">
        <v>-0.32739687426302999</v>
      </c>
      <c r="G51" s="54">
        <v>0.214452269180469</v>
      </c>
      <c r="H51" s="54">
        <v>-7.4599238490861794E-2</v>
      </c>
      <c r="I51" s="54">
        <v>0.25923007003866799</v>
      </c>
      <c r="J51" s="54">
        <v>8.4024983350786897E-2</v>
      </c>
      <c r="K51" s="54">
        <v>0.41644065154396498</v>
      </c>
      <c r="L51" s="54">
        <v>0.316731085286096</v>
      </c>
      <c r="M51" s="54">
        <v>8.5076527373459498E-2</v>
      </c>
      <c r="N51" s="54">
        <v>0.12000452651912399</v>
      </c>
      <c r="O51" s="54">
        <v>6.9747326611839994E-2</v>
      </c>
      <c r="P51" s="54">
        <v>0.11680223028605401</v>
      </c>
      <c r="Q51" s="54">
        <v>0.27962765550530799</v>
      </c>
      <c r="R51" s="54">
        <v>-5.9167976463925199E-3</v>
      </c>
      <c r="S51" s="54">
        <v>8.3443533389143398E-2</v>
      </c>
      <c r="T51" s="54">
        <v>0.35757143579529599</v>
      </c>
      <c r="U51" s="54">
        <v>0.201715877692734</v>
      </c>
      <c r="V51" s="54">
        <v>0.12713937320169999</v>
      </c>
      <c r="W51" s="54">
        <v>0.250518203111397</v>
      </c>
      <c r="X51" s="54">
        <v>0.17409457188508401</v>
      </c>
      <c r="Y51" s="54">
        <v>-1.4233697579584201E-3</v>
      </c>
      <c r="Z51" s="54">
        <v>3.36895422867797E-2</v>
      </c>
      <c r="AA51" s="54">
        <v>0.12585462640742801</v>
      </c>
      <c r="AB51" s="54">
        <v>-0.16685463560480601</v>
      </c>
      <c r="AC51" s="54">
        <v>4.5472713848738501E-2</v>
      </c>
      <c r="AD51" s="54">
        <v>0.226570058917971</v>
      </c>
      <c r="AE51" s="54">
        <v>-5.63888652790751E-2</v>
      </c>
      <c r="AF51" s="55">
        <f t="shared" si="8"/>
        <v>0.11760414981311977</v>
      </c>
      <c r="AG51" s="56">
        <f t="shared" si="9"/>
        <v>0.1589449638882913</v>
      </c>
      <c r="AH51" s="57">
        <f t="shared" si="5"/>
        <v>2.0518305164802859</v>
      </c>
      <c r="AI51" s="55">
        <f t="shared" si="6"/>
        <v>5.4840762441781696E-2</v>
      </c>
      <c r="AJ51" s="56">
        <f t="shared" si="7"/>
        <v>0.18036753718445786</v>
      </c>
    </row>
    <row r="52" spans="1:36" x14ac:dyDescent="0.4">
      <c r="A52" s="188"/>
      <c r="B52" s="192"/>
      <c r="C52" s="60">
        <v>13</v>
      </c>
      <c r="D52" s="61">
        <v>-3.7791983275042101E-2</v>
      </c>
      <c r="E52" s="61">
        <v>-9.9686577426254502E-2</v>
      </c>
      <c r="F52" s="61">
        <v>-0.23945533800730301</v>
      </c>
      <c r="G52" s="61">
        <v>-0.21910311308031499</v>
      </c>
      <c r="H52" s="61">
        <v>-0.214213250853688</v>
      </c>
      <c r="I52" s="61">
        <v>0.50254967594484801</v>
      </c>
      <c r="J52" s="61">
        <v>-1.38633132589609E-2</v>
      </c>
      <c r="K52" s="61">
        <v>0.25039555668678298</v>
      </c>
      <c r="L52" s="61">
        <v>7.5509158588275199E-2</v>
      </c>
      <c r="M52" s="61">
        <v>-0.29441796838788697</v>
      </c>
      <c r="N52" s="61">
        <v>-0.44190466607391798</v>
      </c>
      <c r="O52" s="61">
        <v>5.5445977641823997E-3</v>
      </c>
      <c r="P52" s="61">
        <v>-0.186839275393856</v>
      </c>
      <c r="Q52" s="61">
        <v>1.3026406803362501E-2</v>
      </c>
      <c r="R52" s="61">
        <v>-0.30408094915695999</v>
      </c>
      <c r="S52" s="61">
        <v>8.8206308822051896E-2</v>
      </c>
      <c r="T52" s="61">
        <v>-0.15801907788498601</v>
      </c>
      <c r="U52" s="61">
        <v>0.18742116300780001</v>
      </c>
      <c r="V52" s="61">
        <v>-0.109154247173847</v>
      </c>
      <c r="W52" s="61">
        <v>-1.15323034548691E-2</v>
      </c>
      <c r="X52" s="61">
        <v>0.15097253936899299</v>
      </c>
      <c r="Y52" s="61">
        <v>-0.246053376997906</v>
      </c>
      <c r="Z52" s="61">
        <v>-1.5351910810062999E-2</v>
      </c>
      <c r="AA52" s="61">
        <v>-7.0045738623903703E-2</v>
      </c>
      <c r="AB52" s="61">
        <v>-0.260477418099964</v>
      </c>
      <c r="AC52" s="61">
        <v>-0.150514629158777</v>
      </c>
      <c r="AD52" s="61">
        <v>-0.230956300881933</v>
      </c>
      <c r="AE52" s="61">
        <v>-0.259938498300954</v>
      </c>
      <c r="AF52" s="62">
        <f t="shared" si="8"/>
        <v>-8.1777661761253256E-2</v>
      </c>
      <c r="AG52" s="63">
        <f t="shared" si="9"/>
        <v>0.20054033679196814</v>
      </c>
      <c r="AH52" s="64">
        <f t="shared" si="5"/>
        <v>2.0518305164802859</v>
      </c>
      <c r="AI52" s="62">
        <f t="shared" si="6"/>
        <v>-0.16096602063557988</v>
      </c>
      <c r="AJ52" s="63">
        <f t="shared" si="7"/>
        <v>-2.589302886926631E-3</v>
      </c>
    </row>
    <row r="53" spans="1:36" x14ac:dyDescent="0.4">
      <c r="A53" s="188"/>
      <c r="B53" s="192"/>
      <c r="C53" s="53">
        <v>14</v>
      </c>
      <c r="D53" s="54">
        <v>-0.186220072040057</v>
      </c>
      <c r="E53" s="54">
        <v>-0.134211767335571</v>
      </c>
      <c r="F53" s="54">
        <v>-0.14626830625713499</v>
      </c>
      <c r="G53" s="54">
        <v>-0.15389765438387701</v>
      </c>
      <c r="H53" s="54">
        <v>-0.11304908681537899</v>
      </c>
      <c r="I53" s="54">
        <v>-4.7426775907283003E-2</v>
      </c>
      <c r="J53" s="54">
        <v>-5.16485878119681E-2</v>
      </c>
      <c r="K53" s="54">
        <v>-0.37552558429553001</v>
      </c>
      <c r="L53" s="54">
        <v>-0.19910926336835599</v>
      </c>
      <c r="M53" s="54">
        <v>-0.18606428244041201</v>
      </c>
      <c r="N53" s="54">
        <v>-0.223580207388903</v>
      </c>
      <c r="O53" s="54">
        <v>-5.6802560842328298E-3</v>
      </c>
      <c r="P53" s="54">
        <v>-4.9267151126969097E-2</v>
      </c>
      <c r="Q53" s="54">
        <v>-3.0380955860579199E-2</v>
      </c>
      <c r="R53" s="54">
        <v>-0.21286698045747601</v>
      </c>
      <c r="S53" s="54">
        <v>7.6127727702477999E-2</v>
      </c>
      <c r="T53" s="54">
        <v>-0.32948324193145501</v>
      </c>
      <c r="U53" s="54">
        <v>5.8941542843905001E-2</v>
      </c>
      <c r="V53" s="54">
        <v>-0.18139291616532999</v>
      </c>
      <c r="W53" s="54">
        <v>-8.3414114102737302E-2</v>
      </c>
      <c r="X53" s="54">
        <v>5.4309121570227603E-2</v>
      </c>
      <c r="Y53" s="54">
        <v>-0.27502262044786402</v>
      </c>
      <c r="Z53" s="54">
        <v>-0.115569738010663</v>
      </c>
      <c r="AA53" s="54">
        <v>-0.19219561860151599</v>
      </c>
      <c r="AB53" s="54">
        <v>-0.27329137407544402</v>
      </c>
      <c r="AC53" s="54">
        <v>3.6347036414795697E-2</v>
      </c>
      <c r="AD53" s="54">
        <v>-0.21753452039726201</v>
      </c>
      <c r="AE53" s="54">
        <v>-0.157807277473892</v>
      </c>
      <c r="AF53" s="55">
        <f t="shared" si="8"/>
        <v>-0.13268510443744591</v>
      </c>
      <c r="AG53" s="56">
        <f t="shared" si="9"/>
        <v>0.11726674155714187</v>
      </c>
      <c r="AH53" s="57">
        <f t="shared" si="5"/>
        <v>2.0518305164802859</v>
      </c>
      <c r="AI53" s="55">
        <f t="shared" si="6"/>
        <v>-0.17899080514085564</v>
      </c>
      <c r="AJ53" s="56">
        <f t="shared" si="7"/>
        <v>-8.6379403734036186E-2</v>
      </c>
    </row>
    <row r="54" spans="1:36" x14ac:dyDescent="0.4">
      <c r="A54" s="188"/>
      <c r="B54" s="192"/>
      <c r="C54" s="58">
        <v>15</v>
      </c>
      <c r="D54" s="54">
        <v>-0.16388438452524601</v>
      </c>
      <c r="E54" s="54">
        <v>-0.14024163102071999</v>
      </c>
      <c r="F54" s="54">
        <v>-0.257623865990808</v>
      </c>
      <c r="G54" s="54">
        <v>-0.21682502801519299</v>
      </c>
      <c r="H54" s="54">
        <v>-9.5130710897137705E-2</v>
      </c>
      <c r="I54" s="54">
        <v>-0.16849746206327099</v>
      </c>
      <c r="J54" s="54">
        <v>-0.26194576534964198</v>
      </c>
      <c r="K54" s="54">
        <v>-0.401892576124808</v>
      </c>
      <c r="L54" s="54">
        <v>-0.33623148949284598</v>
      </c>
      <c r="M54" s="54">
        <v>-0.23354093673701401</v>
      </c>
      <c r="N54" s="54">
        <v>-0.26291278472549701</v>
      </c>
      <c r="O54" s="54">
        <v>-0.123488949541373</v>
      </c>
      <c r="P54" s="54">
        <v>-9.26423773294828E-2</v>
      </c>
      <c r="Q54" s="54">
        <v>-0.156828381855041</v>
      </c>
      <c r="R54" s="54">
        <v>-0.27671794060178401</v>
      </c>
      <c r="S54" s="54">
        <v>-0.110880626220222</v>
      </c>
      <c r="T54" s="54">
        <v>-0.26829699428475301</v>
      </c>
      <c r="U54" s="54">
        <v>-0.18550713774733299</v>
      </c>
      <c r="V54" s="54">
        <v>-0.158309604390895</v>
      </c>
      <c r="W54" s="54">
        <v>-0.296586957250568</v>
      </c>
      <c r="X54" s="54">
        <v>-0.17382610667467299</v>
      </c>
      <c r="Y54" s="54">
        <v>-0.112879972398999</v>
      </c>
      <c r="Z54" s="54">
        <v>-9.5475638986840694E-2</v>
      </c>
      <c r="AA54" s="54">
        <v>-0.14005739028782199</v>
      </c>
      <c r="AB54" s="54">
        <v>-0.29482029398856302</v>
      </c>
      <c r="AC54" s="54">
        <v>2.23901179864185E-2</v>
      </c>
      <c r="AD54" s="54">
        <v>-0.25121083436630398</v>
      </c>
      <c r="AE54" s="54">
        <v>-0.196049537576789</v>
      </c>
      <c r="AF54" s="55">
        <f t="shared" si="8"/>
        <v>-0.19463983073061453</v>
      </c>
      <c r="AG54" s="56">
        <f t="shared" si="9"/>
        <v>9.0430492283842409E-2</v>
      </c>
      <c r="AH54" s="57">
        <f t="shared" si="5"/>
        <v>2.0518305164802859</v>
      </c>
      <c r="AI54" s="55">
        <f t="shared" si="6"/>
        <v>-0.23034856838763507</v>
      </c>
      <c r="AJ54" s="56">
        <f t="shared" si="7"/>
        <v>-0.15893109307359399</v>
      </c>
    </row>
    <row r="55" spans="1:36" x14ac:dyDescent="0.4">
      <c r="A55" s="188"/>
      <c r="B55" s="192"/>
      <c r="C55" s="58">
        <v>16</v>
      </c>
      <c r="D55" s="54">
        <v>-0.19925979531575899</v>
      </c>
      <c r="E55" s="54">
        <v>-8.3043200663340103E-2</v>
      </c>
      <c r="F55" s="54">
        <v>-0.28886201249149202</v>
      </c>
      <c r="G55" s="54">
        <v>-0.19672441058156601</v>
      </c>
      <c r="H55" s="54">
        <v>-0.13478062533926599</v>
      </c>
      <c r="I55" s="54">
        <v>-0.36954434560166699</v>
      </c>
      <c r="J55" s="54">
        <v>-0.115685847790473</v>
      </c>
      <c r="K55" s="54">
        <v>-0.48198191527252698</v>
      </c>
      <c r="L55" s="54">
        <v>-0.18895014923029499</v>
      </c>
      <c r="M55" s="54">
        <v>-0.231940896542317</v>
      </c>
      <c r="N55" s="54">
        <v>-0.27319501024901799</v>
      </c>
      <c r="O55" s="54">
        <v>-0.16947482073355999</v>
      </c>
      <c r="P55" s="54">
        <v>-0.16082882507315299</v>
      </c>
      <c r="Q55" s="54">
        <v>-0.239305169585938</v>
      </c>
      <c r="R55" s="54">
        <v>-0.34491842119190602</v>
      </c>
      <c r="S55" s="54">
        <v>-0.14186421166534099</v>
      </c>
      <c r="T55" s="54">
        <v>-0.29115330353775998</v>
      </c>
      <c r="U55" s="54">
        <v>-0.24222750412135299</v>
      </c>
      <c r="V55" s="54">
        <v>-0.160385136460965</v>
      </c>
      <c r="W55" s="54">
        <v>-0.36442619559552702</v>
      </c>
      <c r="X55" s="54">
        <v>4.1392120003919702E-2</v>
      </c>
      <c r="Y55" s="54">
        <v>-0.15628485038624201</v>
      </c>
      <c r="Z55" s="54">
        <v>-0.122214274063514</v>
      </c>
      <c r="AA55" s="54">
        <v>-0.209831915273824</v>
      </c>
      <c r="AB55" s="54">
        <v>-0.13044892309744099</v>
      </c>
      <c r="AC55" s="54">
        <v>-0.14846808326524799</v>
      </c>
      <c r="AD55" s="54">
        <v>-0.38489095977034499</v>
      </c>
      <c r="AE55" s="54">
        <v>-5.95052646193039E-3</v>
      </c>
      <c r="AF55" s="55">
        <f t="shared" si="8"/>
        <v>-0.20697318604849455</v>
      </c>
      <c r="AG55" s="56">
        <f t="shared" si="9"/>
        <v>0.11532518741753557</v>
      </c>
      <c r="AH55" s="57">
        <f t="shared" si="5"/>
        <v>2.0518305164802859</v>
      </c>
      <c r="AI55" s="55">
        <f t="shared" si="6"/>
        <v>-0.25251221562508469</v>
      </c>
      <c r="AJ55" s="56">
        <f t="shared" si="7"/>
        <v>-0.1614341564719044</v>
      </c>
    </row>
    <row r="56" spans="1:36" x14ac:dyDescent="0.4">
      <c r="A56" s="188"/>
      <c r="B56" s="192"/>
      <c r="C56" s="58">
        <v>17</v>
      </c>
      <c r="D56" s="54">
        <v>-0.12737298066771499</v>
      </c>
      <c r="E56" s="54">
        <v>-0.18997161035620899</v>
      </c>
      <c r="F56" s="54">
        <v>-0.194004713971096</v>
      </c>
      <c r="G56" s="54">
        <v>-0.32242248654407002</v>
      </c>
      <c r="H56" s="54">
        <v>-2.98795140101049E-3</v>
      </c>
      <c r="I56" s="54">
        <v>-0.23140364103203101</v>
      </c>
      <c r="J56" s="54">
        <v>-0.10137522581172199</v>
      </c>
      <c r="K56" s="54">
        <v>-0.47337358662205897</v>
      </c>
      <c r="L56" s="54">
        <v>-0.15780854125312299</v>
      </c>
      <c r="M56" s="54">
        <v>-0.19055084280641399</v>
      </c>
      <c r="N56" s="54">
        <v>-0.354545101709902</v>
      </c>
      <c r="O56" s="54">
        <v>-0.20674518607259501</v>
      </c>
      <c r="P56" s="54">
        <v>-6.8423309047119504E-2</v>
      </c>
      <c r="Q56" s="54">
        <v>-0.17417659052679799</v>
      </c>
      <c r="R56" s="54">
        <v>-0.38357287717918298</v>
      </c>
      <c r="S56" s="54">
        <v>-0.101340465613901</v>
      </c>
      <c r="T56" s="54">
        <v>-0.48570758806907499</v>
      </c>
      <c r="U56" s="54">
        <v>-0.22458085867515301</v>
      </c>
      <c r="V56" s="54">
        <v>-7.7248087677645502E-2</v>
      </c>
      <c r="W56" s="54">
        <v>-0.53132198154870003</v>
      </c>
      <c r="X56" s="54">
        <v>-0.19068572029261999</v>
      </c>
      <c r="Y56" s="54">
        <v>-0.19960355058795101</v>
      </c>
      <c r="Z56" s="54">
        <v>2.5818701942796399E-2</v>
      </c>
      <c r="AA56" s="54">
        <v>-0.16015387624385299</v>
      </c>
      <c r="AB56" s="54">
        <v>-8.93619386448989E-2</v>
      </c>
      <c r="AC56" s="54">
        <v>-0.226765075109125</v>
      </c>
      <c r="AD56" s="54">
        <v>-0.357860640084666</v>
      </c>
      <c r="AE56" s="54">
        <v>7.4967509469729507E-2</v>
      </c>
      <c r="AF56" s="55">
        <f t="shared" si="8"/>
        <v>-0.20437779343343249</v>
      </c>
      <c r="AG56" s="56">
        <f t="shared" si="9"/>
        <v>0.14963673509836556</v>
      </c>
      <c r="AH56" s="57">
        <f t="shared" si="5"/>
        <v>2.0518305164802859</v>
      </c>
      <c r="AI56" s="55">
        <f t="shared" si="6"/>
        <v>-0.26346559426845384</v>
      </c>
      <c r="AJ56" s="56">
        <f t="shared" si="7"/>
        <v>-0.14528999259841113</v>
      </c>
    </row>
    <row r="57" spans="1:36" ht="14.25" thickBot="1" x14ac:dyDescent="0.45">
      <c r="A57" s="189"/>
      <c r="B57" s="193"/>
      <c r="C57" s="65">
        <v>18</v>
      </c>
      <c r="D57" s="66">
        <v>-0.19878761888170901</v>
      </c>
      <c r="E57" s="66">
        <v>-0.24283169989367001</v>
      </c>
      <c r="F57" s="66">
        <v>-0.224451322176517</v>
      </c>
      <c r="G57" s="66">
        <v>-0.37350463415441398</v>
      </c>
      <c r="H57" s="66">
        <v>-1.53068348447931E-2</v>
      </c>
      <c r="I57" s="66">
        <v>-0.35744589820745798</v>
      </c>
      <c r="J57" s="66">
        <v>-0.13837206635363899</v>
      </c>
      <c r="K57" s="66">
        <v>-0.42306268806514402</v>
      </c>
      <c r="L57" s="66">
        <v>-0.18512802876314799</v>
      </c>
      <c r="M57" s="66">
        <v>-0.215007534135705</v>
      </c>
      <c r="N57" s="66">
        <v>-0.34752355235177301</v>
      </c>
      <c r="O57" s="66">
        <v>-0.234862603091372</v>
      </c>
      <c r="P57" s="66">
        <v>-0.19395979989951601</v>
      </c>
      <c r="Q57" s="66">
        <v>-0.27028289832047298</v>
      </c>
      <c r="R57" s="66">
        <v>-0.30298904409441701</v>
      </c>
      <c r="S57" s="66">
        <v>-0.12345961286960901</v>
      </c>
      <c r="T57" s="66">
        <v>-0.57494158569690501</v>
      </c>
      <c r="U57" s="66">
        <v>-0.30399864721915698</v>
      </c>
      <c r="V57" s="66">
        <v>-0.156836637733752</v>
      </c>
      <c r="W57" s="66">
        <v>-0.308830881367117</v>
      </c>
      <c r="X57" s="66">
        <v>-0.24635282110905901</v>
      </c>
      <c r="Y57" s="66">
        <v>-0.223675878684161</v>
      </c>
      <c r="Z57" s="66">
        <v>-0.221409906888657</v>
      </c>
      <c r="AA57" s="66">
        <v>-0.174580786339637</v>
      </c>
      <c r="AB57" s="66">
        <v>-0.11205864558357299</v>
      </c>
      <c r="AC57" s="66">
        <v>-0.35494326673697801</v>
      </c>
      <c r="AD57" s="66">
        <v>-0.357284846292515</v>
      </c>
      <c r="AE57" s="66">
        <v>0.15283472445541599</v>
      </c>
      <c r="AF57" s="67">
        <f t="shared" si="8"/>
        <v>-0.24032339340355183</v>
      </c>
      <c r="AG57" s="68">
        <f t="shared" si="9"/>
        <v>0.13529422934345367</v>
      </c>
      <c r="AH57" s="57">
        <f t="shared" si="5"/>
        <v>2.0518305164802859</v>
      </c>
      <c r="AI57" s="67">
        <f t="shared" si="6"/>
        <v>-0.29374769775180282</v>
      </c>
      <c r="AJ57" s="68">
        <f t="shared" si="7"/>
        <v>-0.18689908905530084</v>
      </c>
    </row>
    <row r="58" spans="1:36" x14ac:dyDescent="0.4">
      <c r="A58" s="180" t="s">
        <v>4</v>
      </c>
      <c r="B58" s="69"/>
      <c r="C58" s="69">
        <v>1</v>
      </c>
      <c r="D58" s="70">
        <v>-9.8604615148673205E-2</v>
      </c>
      <c r="E58" s="70">
        <v>-0.38319789193963</v>
      </c>
      <c r="F58" s="70">
        <v>6.8559819468134706E-2</v>
      </c>
      <c r="G58" s="70">
        <v>-0.25638946646243699</v>
      </c>
      <c r="H58" s="70">
        <v>-1.14805149872552E-2</v>
      </c>
      <c r="I58" s="70">
        <v>-0.269566914522471</v>
      </c>
      <c r="J58" s="70">
        <v>-0.147052734336867</v>
      </c>
      <c r="K58" s="70">
        <v>-0.22829128167448601</v>
      </c>
      <c r="L58" s="70">
        <v>-0.41647915591795398</v>
      </c>
      <c r="M58" s="70">
        <v>2.56537645802268E-3</v>
      </c>
      <c r="N58" s="70">
        <v>-0.28123536603864302</v>
      </c>
      <c r="O58" s="70">
        <v>-0.304304555430917</v>
      </c>
      <c r="P58" s="70">
        <v>-0.16485546723254099</v>
      </c>
      <c r="Q58" s="70">
        <v>-0.23599919795726901</v>
      </c>
      <c r="R58" s="70">
        <v>-0.26807689331612</v>
      </c>
      <c r="S58" s="70">
        <v>-0.114226256815726</v>
      </c>
      <c r="T58" s="70">
        <v>-0.32150665638766801</v>
      </c>
      <c r="U58" s="70">
        <v>-0.856693625323529</v>
      </c>
      <c r="V58" s="70">
        <v>-0.200111064977221</v>
      </c>
      <c r="W58" s="70">
        <v>-0.44907042368814098</v>
      </c>
      <c r="X58" s="70">
        <v>-0.424242755143239</v>
      </c>
      <c r="Y58" s="70">
        <v>-0.120549795312669</v>
      </c>
      <c r="Z58" s="70">
        <v>-9.1149283036187898E-2</v>
      </c>
      <c r="AA58" s="70">
        <v>-0.12568158543729099</v>
      </c>
      <c r="AB58" s="70">
        <v>-0.102849438614839</v>
      </c>
      <c r="AC58" s="70">
        <v>-4.0979659723888E-2</v>
      </c>
      <c r="AD58" s="70">
        <v>-0.184994548272399</v>
      </c>
      <c r="AE58" s="70">
        <v>0.145250440608407</v>
      </c>
      <c r="AF58" s="71">
        <f t="shared" si="8"/>
        <v>-0.21004333968441055</v>
      </c>
      <c r="AG58" s="74">
        <f t="shared" si="9"/>
        <v>0.19401857459965519</v>
      </c>
      <c r="AH58" s="82">
        <f t="shared" si="5"/>
        <v>2.0518305164802859</v>
      </c>
      <c r="AI58" s="74">
        <f t="shared" si="6"/>
        <v>-0.28665641792821928</v>
      </c>
      <c r="AJ58" s="72">
        <f t="shared" si="7"/>
        <v>-0.13343026144060186</v>
      </c>
    </row>
    <row r="59" spans="1:36" x14ac:dyDescent="0.4">
      <c r="A59" s="181"/>
      <c r="B59" s="75"/>
      <c r="C59" s="75">
        <v>2</v>
      </c>
      <c r="D59" s="70">
        <v>-8.1778397220844498E-2</v>
      </c>
      <c r="E59" s="70">
        <v>-0.36918241677084002</v>
      </c>
      <c r="F59" s="70">
        <v>0.130420726844278</v>
      </c>
      <c r="G59" s="70">
        <v>-0.14799564104541199</v>
      </c>
      <c r="H59" s="70">
        <v>-8.34028849923385E-2</v>
      </c>
      <c r="I59" s="70">
        <v>-0.10550507088028301</v>
      </c>
      <c r="J59" s="70">
        <v>-0.309128848375124</v>
      </c>
      <c r="K59" s="70">
        <v>-0.292311740674705</v>
      </c>
      <c r="L59" s="70">
        <v>-0.47288625348281199</v>
      </c>
      <c r="M59" s="70">
        <v>3.89423164052402E-2</v>
      </c>
      <c r="N59" s="70">
        <v>-0.293017287842957</v>
      </c>
      <c r="O59" s="70">
        <v>-0.200261148354172</v>
      </c>
      <c r="P59" s="70">
        <v>-0.111324812642678</v>
      </c>
      <c r="Q59" s="70">
        <v>-3.5278627341057203E-2</v>
      </c>
      <c r="R59" s="70">
        <v>-0.33552345702896902</v>
      </c>
      <c r="S59" s="70">
        <v>-0.19306041704817201</v>
      </c>
      <c r="T59" s="70">
        <v>-0.33755710290868901</v>
      </c>
      <c r="U59" s="70">
        <v>-0.33353060678808699</v>
      </c>
      <c r="V59" s="70">
        <v>-2.6355943538206299E-2</v>
      </c>
      <c r="W59" s="70">
        <v>-0.480006242335903</v>
      </c>
      <c r="X59" s="70">
        <v>-0.43027631187683801</v>
      </c>
      <c r="Y59" s="70">
        <v>-7.0624131552321501E-2</v>
      </c>
      <c r="Z59" s="70">
        <v>-2.7843749276385599E-2</v>
      </c>
      <c r="AA59" s="70">
        <v>-0.19121747105495501</v>
      </c>
      <c r="AB59" s="70">
        <v>-0.167652283452497</v>
      </c>
      <c r="AC59" s="70">
        <v>-0.17786482123281599</v>
      </c>
      <c r="AD59" s="70">
        <v>-0.19513491672252301</v>
      </c>
      <c r="AE59" s="70">
        <v>0.13832194070305001</v>
      </c>
      <c r="AF59" s="71">
        <f t="shared" si="8"/>
        <v>-0.18432270001739348</v>
      </c>
      <c r="AG59" s="74">
        <f t="shared" si="9"/>
        <v>0.16610886671534672</v>
      </c>
      <c r="AH59" s="76">
        <f t="shared" si="5"/>
        <v>2.0518305164802859</v>
      </c>
      <c r="AI59" s="74">
        <f t="shared" si="6"/>
        <v>-0.24991493328120734</v>
      </c>
      <c r="AJ59" s="72">
        <f t="shared" si="7"/>
        <v>-0.11873046675357964</v>
      </c>
    </row>
    <row r="60" spans="1:36" x14ac:dyDescent="0.4">
      <c r="A60" s="181"/>
      <c r="B60" s="75"/>
      <c r="C60" s="75">
        <v>3</v>
      </c>
      <c r="D60" s="70">
        <v>-5.0895586617045199E-2</v>
      </c>
      <c r="E60" s="70">
        <v>-0.23035671876279101</v>
      </c>
      <c r="F60" s="70">
        <v>0.297659096524796</v>
      </c>
      <c r="G60" s="70">
        <v>2.9808994159765199E-2</v>
      </c>
      <c r="H60" s="70">
        <v>-9.7073423703193298E-3</v>
      </c>
      <c r="I60" s="70">
        <v>-0.19829815077528601</v>
      </c>
      <c r="J60" s="70">
        <v>-0.14641485777579499</v>
      </c>
      <c r="K60" s="70">
        <v>-0.357320563334795</v>
      </c>
      <c r="L60" s="70">
        <v>-0.157411640969598</v>
      </c>
      <c r="M60" s="70">
        <v>0.121322497239901</v>
      </c>
      <c r="N60" s="70">
        <v>-0.31214803461104101</v>
      </c>
      <c r="O60" s="70">
        <v>-0.113847152585648</v>
      </c>
      <c r="P60" s="70">
        <v>9.9215278501560505E-2</v>
      </c>
      <c r="Q60" s="70">
        <v>0.14210104033405399</v>
      </c>
      <c r="R60" s="70">
        <v>-2.1285103221558101E-2</v>
      </c>
      <c r="S60" s="70">
        <v>-0.135176624824111</v>
      </c>
      <c r="T60" s="70">
        <v>-9.8518937751606403E-2</v>
      </c>
      <c r="U60" s="70">
        <v>0.31619678979472998</v>
      </c>
      <c r="V60" s="70">
        <v>-2.8782267454289402E-2</v>
      </c>
      <c r="W60" s="70">
        <v>-0.19463105630227001</v>
      </c>
      <c r="X60" s="70">
        <v>-0.186481693665314</v>
      </c>
      <c r="Y60" s="70">
        <v>7.8147452230623998E-2</v>
      </c>
      <c r="Z60" s="70">
        <v>0.131996859430415</v>
      </c>
      <c r="AA60" s="70">
        <v>-3.4121046914876198E-2</v>
      </c>
      <c r="AB60" s="70">
        <v>3.4080108570975598E-2</v>
      </c>
      <c r="AC60" s="70">
        <v>1.34791623744803E-2</v>
      </c>
      <c r="AD60" s="70">
        <v>-7.8184799833991195E-2</v>
      </c>
      <c r="AE60" s="70">
        <v>0.490620479100357</v>
      </c>
      <c r="AF60" s="71">
        <f t="shared" si="8"/>
        <v>-2.1391207839595583E-2</v>
      </c>
      <c r="AG60" s="74">
        <f t="shared" si="9"/>
        <v>0.19008293579993574</v>
      </c>
      <c r="AH60" s="76">
        <f t="shared" si="5"/>
        <v>2.0518305164802859</v>
      </c>
      <c r="AI60" s="74">
        <f t="shared" si="6"/>
        <v>-9.6450200842213105E-2</v>
      </c>
      <c r="AJ60" s="72">
        <f t="shared" si="7"/>
        <v>5.3667785163021939E-2</v>
      </c>
    </row>
    <row r="61" spans="1:36" x14ac:dyDescent="0.4">
      <c r="A61" s="181"/>
      <c r="B61" s="183" t="s">
        <v>18</v>
      </c>
      <c r="C61" s="75">
        <v>4</v>
      </c>
      <c r="D61" s="70">
        <v>0.107449547404513</v>
      </c>
      <c r="E61" s="70">
        <v>0.22082679976335801</v>
      </c>
      <c r="F61" s="70">
        <v>0.57982805773978896</v>
      </c>
      <c r="G61" s="70">
        <v>0.42005445246191098</v>
      </c>
      <c r="H61" s="70">
        <v>0.22117839732598499</v>
      </c>
      <c r="I61" s="70">
        <v>-0.16752039030222901</v>
      </c>
      <c r="J61" s="70">
        <v>0.28024136028786001</v>
      </c>
      <c r="K61" s="70">
        <v>-0.122855197056082</v>
      </c>
      <c r="L61" s="70">
        <v>0.32959041076847401</v>
      </c>
      <c r="M61" s="70">
        <v>0.33761958571115203</v>
      </c>
      <c r="N61" s="70">
        <v>-6.1692939286189102E-2</v>
      </c>
      <c r="O61" s="70">
        <v>0.164428622861194</v>
      </c>
      <c r="P61" s="70">
        <v>0.35514391692802799</v>
      </c>
      <c r="Q61" s="70">
        <v>0.32093601610618799</v>
      </c>
      <c r="R61" s="70">
        <v>0.55406946134857504</v>
      </c>
      <c r="S61" s="70">
        <v>0.30744007614013902</v>
      </c>
      <c r="T61" s="70">
        <v>0.48578216590138301</v>
      </c>
      <c r="U61" s="70">
        <v>-1.3176934518540399E-2</v>
      </c>
      <c r="V61" s="70">
        <v>0.23004583629169401</v>
      </c>
      <c r="W61" s="70">
        <v>0.24410021707707499</v>
      </c>
      <c r="X61" s="70">
        <v>0.17241761655509399</v>
      </c>
      <c r="Y61" s="70">
        <v>0.51748180295014301</v>
      </c>
      <c r="Z61" s="70">
        <v>0.64409666710693603</v>
      </c>
      <c r="AA61" s="70">
        <v>0.20579186949827</v>
      </c>
      <c r="AB61" s="70">
        <v>0.24548095935428099</v>
      </c>
      <c r="AC61" s="70">
        <v>0.292751732080404</v>
      </c>
      <c r="AD61" s="70">
        <v>0.16959846204200299</v>
      </c>
      <c r="AE61" s="70">
        <v>0.75287703107336701</v>
      </c>
      <c r="AF61" s="71">
        <f t="shared" si="8"/>
        <v>0.27835662870052774</v>
      </c>
      <c r="AG61" s="74">
        <f t="shared" si="9"/>
        <v>0.21968843989869694</v>
      </c>
      <c r="AH61" s="76">
        <f t="shared" si="5"/>
        <v>2.0518305164802859</v>
      </c>
      <c r="AI61" s="74">
        <f t="shared" si="6"/>
        <v>0.19160716324368252</v>
      </c>
      <c r="AJ61" s="72">
        <f t="shared" si="7"/>
        <v>0.36510609415737294</v>
      </c>
    </row>
    <row r="62" spans="1:36" x14ac:dyDescent="0.4">
      <c r="A62" s="181"/>
      <c r="B62" s="184"/>
      <c r="C62" s="75">
        <v>5</v>
      </c>
      <c r="D62" s="70">
        <v>0.26228053325706902</v>
      </c>
      <c r="E62" s="70">
        <v>0.47887465400238199</v>
      </c>
      <c r="F62" s="70">
        <v>0.62240688219151197</v>
      </c>
      <c r="G62" s="70">
        <v>0.54824434050300397</v>
      </c>
      <c r="H62" s="70">
        <v>0.40257084520646902</v>
      </c>
      <c r="I62" s="70">
        <v>-9.9244627258343598E-3</v>
      </c>
      <c r="J62" s="70">
        <v>0.48413998972134198</v>
      </c>
      <c r="K62" s="70">
        <v>0.11307677336308999</v>
      </c>
      <c r="L62" s="70">
        <v>0.62851686371985205</v>
      </c>
      <c r="M62" s="70">
        <v>0.56626060429954295</v>
      </c>
      <c r="N62" s="70">
        <v>0.11313173879996399</v>
      </c>
      <c r="O62" s="70">
        <v>0.46126010071891699</v>
      </c>
      <c r="P62" s="70">
        <v>0.20897088500859601</v>
      </c>
      <c r="Q62" s="70">
        <v>0.40621147325450102</v>
      </c>
      <c r="R62" s="70">
        <v>0.75031982386302298</v>
      </c>
      <c r="S62" s="70">
        <v>0.40786743296705102</v>
      </c>
      <c r="T62" s="70">
        <v>0.882990185865281</v>
      </c>
      <c r="U62" s="70">
        <v>0.43827950676373401</v>
      </c>
      <c r="V62" s="70">
        <v>0.52736150315620001</v>
      </c>
      <c r="W62" s="70">
        <v>0.60483044089056603</v>
      </c>
      <c r="X62" s="70">
        <v>0.46903505081535002</v>
      </c>
      <c r="Y62" s="70">
        <v>0.85173670715919003</v>
      </c>
      <c r="Z62" s="70">
        <v>0.53304484357855098</v>
      </c>
      <c r="AA62" s="70">
        <v>0.52099250615968595</v>
      </c>
      <c r="AB62" s="70">
        <v>0.44095302433073802</v>
      </c>
      <c r="AC62" s="70">
        <v>0.56373067141259903</v>
      </c>
      <c r="AD62" s="70">
        <v>0.36338506163467299</v>
      </c>
      <c r="AE62" s="70">
        <v>0.69417011212220803</v>
      </c>
      <c r="AF62" s="71">
        <f t="shared" si="8"/>
        <v>0.47623993185854502</v>
      </c>
      <c r="AG62" s="74">
        <f t="shared" si="9"/>
        <v>0.20790023281417516</v>
      </c>
      <c r="AH62" s="76">
        <f t="shared" si="5"/>
        <v>2.0518305164802859</v>
      </c>
      <c r="AI62" s="74">
        <f t="shared" si="6"/>
        <v>0.39414533428527354</v>
      </c>
      <c r="AJ62" s="72">
        <f t="shared" si="7"/>
        <v>0.5583345294318165</v>
      </c>
    </row>
    <row r="63" spans="1:36" x14ac:dyDescent="0.4">
      <c r="A63" s="181"/>
      <c r="B63" s="183" t="s">
        <v>19</v>
      </c>
      <c r="C63" s="75">
        <v>6</v>
      </c>
      <c r="D63" s="70">
        <v>0.35445247040148298</v>
      </c>
      <c r="E63" s="70">
        <v>0.60232561739638801</v>
      </c>
      <c r="F63" s="70">
        <v>0.51406970807043695</v>
      </c>
      <c r="G63" s="70">
        <v>0.64620024199098203</v>
      </c>
      <c r="H63" s="70">
        <v>0.41317877261639002</v>
      </c>
      <c r="I63" s="70">
        <v>0.25560915704185999</v>
      </c>
      <c r="J63" s="70">
        <v>0.34461142542868101</v>
      </c>
      <c r="K63" s="70">
        <v>0.37496126052838002</v>
      </c>
      <c r="L63" s="70">
        <v>0.699477615739311</v>
      </c>
      <c r="M63" s="70">
        <v>0.61377000111630697</v>
      </c>
      <c r="N63" s="70">
        <v>0.247284984798994</v>
      </c>
      <c r="O63" s="70">
        <v>0.24504582914870801</v>
      </c>
      <c r="P63" s="70">
        <v>-0.101021345940637</v>
      </c>
      <c r="Q63" s="70">
        <v>0.59058781447309605</v>
      </c>
      <c r="R63" s="70">
        <v>0.65028085360962895</v>
      </c>
      <c r="S63" s="70">
        <v>0.22574240675170601</v>
      </c>
      <c r="T63" s="70">
        <v>1.0259850730522899</v>
      </c>
      <c r="U63" s="70">
        <v>-0.130012136933842</v>
      </c>
      <c r="V63" s="70">
        <v>0.4397712097864</v>
      </c>
      <c r="W63" s="70">
        <v>0.66810953126379502</v>
      </c>
      <c r="X63" s="70">
        <v>0.74358134528218001</v>
      </c>
      <c r="Y63" s="70">
        <v>0.65619931175262902</v>
      </c>
      <c r="Z63" s="70">
        <v>0.182479699649746</v>
      </c>
      <c r="AA63" s="70">
        <v>0.57028521433799995</v>
      </c>
      <c r="AB63" s="70">
        <v>0.46403646961981299</v>
      </c>
      <c r="AC63" s="70">
        <v>0.36175795761757001</v>
      </c>
      <c r="AD63" s="70">
        <v>0.536091210726937</v>
      </c>
      <c r="AE63" s="70">
        <v>0.16834544029290999</v>
      </c>
      <c r="AF63" s="71">
        <f t="shared" si="8"/>
        <v>0.44154311212929087</v>
      </c>
      <c r="AG63" s="74">
        <f t="shared" si="9"/>
        <v>0.25386500535270773</v>
      </c>
      <c r="AH63" s="76">
        <f t="shared" si="5"/>
        <v>2.0518305164802859</v>
      </c>
      <c r="AI63" s="74">
        <f t="shared" si="6"/>
        <v>0.34129817651637623</v>
      </c>
      <c r="AJ63" s="72">
        <f t="shared" si="7"/>
        <v>0.54178804774220557</v>
      </c>
    </row>
    <row r="64" spans="1:36" x14ac:dyDescent="0.4">
      <c r="A64" s="181"/>
      <c r="B64" s="185"/>
      <c r="C64" s="75">
        <v>7</v>
      </c>
      <c r="D64" s="70">
        <v>0.31770281921043803</v>
      </c>
      <c r="E64" s="70">
        <v>0.53599375646828595</v>
      </c>
      <c r="F64" s="70">
        <v>0.39184240126519398</v>
      </c>
      <c r="G64" s="70">
        <v>0.68172240751079005</v>
      </c>
      <c r="H64" s="70">
        <v>0.29863804322243898</v>
      </c>
      <c r="I64" s="70">
        <v>0.16939694283155399</v>
      </c>
      <c r="J64" s="70">
        <v>7.5066977732291207E-2</v>
      </c>
      <c r="K64" s="70">
        <v>0.28199131110373798</v>
      </c>
      <c r="L64" s="70">
        <v>0.29565265980264099</v>
      </c>
      <c r="M64" s="70">
        <v>0.53466407230212099</v>
      </c>
      <c r="N64" s="70">
        <v>0.33291218417477297</v>
      </c>
      <c r="O64" s="70">
        <v>-7.9604262146261803E-2</v>
      </c>
      <c r="P64" s="70">
        <v>-0.161805877950087</v>
      </c>
      <c r="Q64" s="70">
        <v>0.53942813752294605</v>
      </c>
      <c r="R64" s="70">
        <v>0.38000165310776801</v>
      </c>
      <c r="S64" s="70">
        <v>1.6939994216030999E-2</v>
      </c>
      <c r="T64" s="70">
        <v>0.79093520066714895</v>
      </c>
      <c r="U64" s="70">
        <v>-0.52998620570244204</v>
      </c>
      <c r="V64" s="70">
        <v>0.21900606247365301</v>
      </c>
      <c r="W64" s="70">
        <v>0.52305741707641495</v>
      </c>
      <c r="X64" s="70">
        <v>0.65078135010156701</v>
      </c>
      <c r="Y64" s="70">
        <v>0.21287205696938799</v>
      </c>
      <c r="Z64" s="70">
        <v>-3.6314024480986903E-2</v>
      </c>
      <c r="AA64" s="70">
        <v>0.40017646374555199</v>
      </c>
      <c r="AB64" s="70">
        <v>0.44293505837653402</v>
      </c>
      <c r="AC64" s="70">
        <v>0.20111919455267399</v>
      </c>
      <c r="AD64" s="70">
        <v>0.59846887154000605</v>
      </c>
      <c r="AE64" s="70">
        <v>-0.11426892621680899</v>
      </c>
      <c r="AF64" s="71">
        <f t="shared" si="8"/>
        <v>0.28461877640990579</v>
      </c>
      <c r="AG64" s="74">
        <f t="shared" si="9"/>
        <v>0.29563431272168533</v>
      </c>
      <c r="AH64" s="76">
        <f t="shared" si="5"/>
        <v>2.0518305164802859</v>
      </c>
      <c r="AI64" s="74">
        <f t="shared" si="6"/>
        <v>0.16788018692775555</v>
      </c>
      <c r="AJ64" s="72">
        <f t="shared" si="7"/>
        <v>0.40135736589205606</v>
      </c>
    </row>
    <row r="65" spans="1:36" x14ac:dyDescent="0.4">
      <c r="A65" s="181"/>
      <c r="B65" s="185"/>
      <c r="C65" s="75">
        <v>8</v>
      </c>
      <c r="D65" s="70">
        <v>0.10822385123836301</v>
      </c>
      <c r="E65" s="70">
        <v>0.61265598918029696</v>
      </c>
      <c r="F65" s="70">
        <v>0.35503648005987998</v>
      </c>
      <c r="G65" s="70">
        <v>0.59528421518591301</v>
      </c>
      <c r="H65" s="70">
        <v>0.194394158323206</v>
      </c>
      <c r="I65" s="70">
        <v>0.32463640321952802</v>
      </c>
      <c r="J65" s="70">
        <v>-3.1458407966013603E-2</v>
      </c>
      <c r="K65" s="70">
        <v>9.1205242051245194E-2</v>
      </c>
      <c r="L65" s="70">
        <v>0.130264556611109</v>
      </c>
      <c r="M65" s="70">
        <v>0.422979335884406</v>
      </c>
      <c r="N65" s="70">
        <v>0.15383292321484901</v>
      </c>
      <c r="O65" s="70">
        <v>-9.5978698412196195E-2</v>
      </c>
      <c r="P65" s="70">
        <v>-5.9215325873509502E-3</v>
      </c>
      <c r="Q65" s="70">
        <v>0.49565694783473102</v>
      </c>
      <c r="R65" s="70">
        <v>0.29127143601346001</v>
      </c>
      <c r="S65" s="70">
        <v>-0.102480025380046</v>
      </c>
      <c r="T65" s="70">
        <v>0.491975368498415</v>
      </c>
      <c r="U65" s="70">
        <v>-0.133813039367353</v>
      </c>
      <c r="V65" s="70">
        <v>-5.7655522055398402E-2</v>
      </c>
      <c r="W65" s="70">
        <v>0.50450718551240903</v>
      </c>
      <c r="X65" s="70">
        <v>0.23084580144021</v>
      </c>
      <c r="Y65" s="70">
        <v>0.21338912368267399</v>
      </c>
      <c r="Z65" s="70">
        <v>-0.19396539282720901</v>
      </c>
      <c r="AA65" s="70">
        <v>0.13293469769897101</v>
      </c>
      <c r="AB65" s="70">
        <v>0.47807990596844202</v>
      </c>
      <c r="AC65" s="70">
        <v>-0.152769208289527</v>
      </c>
      <c r="AD65" s="70">
        <v>0.461909777175321</v>
      </c>
      <c r="AE65" s="70">
        <v>-0.117975531104448</v>
      </c>
      <c r="AF65" s="71">
        <f t="shared" si="8"/>
        <v>0.19275235860013881</v>
      </c>
      <c r="AG65" s="74">
        <f t="shared" si="9"/>
        <v>0.25096595261095778</v>
      </c>
      <c r="AH65" s="76">
        <f t="shared" si="5"/>
        <v>2.0518305164802859</v>
      </c>
      <c r="AI65" s="74">
        <f t="shared" si="6"/>
        <v>9.3652186342974592E-2</v>
      </c>
      <c r="AJ65" s="72">
        <f t="shared" si="7"/>
        <v>0.29185253085730301</v>
      </c>
    </row>
    <row r="66" spans="1:36" x14ac:dyDescent="0.4">
      <c r="A66" s="181"/>
      <c r="B66" s="184"/>
      <c r="C66" s="75">
        <v>9</v>
      </c>
      <c r="D66" s="70">
        <v>0.212963335224401</v>
      </c>
      <c r="E66" s="70">
        <v>0.72148736209652498</v>
      </c>
      <c r="F66" s="70">
        <v>0.42384245377809199</v>
      </c>
      <c r="G66" s="70">
        <v>0.48212826001873998</v>
      </c>
      <c r="H66" s="70">
        <v>0.15930400548333501</v>
      </c>
      <c r="I66" s="70">
        <v>0.37872019893411801</v>
      </c>
      <c r="J66" s="70">
        <v>0.22621598894181699</v>
      </c>
      <c r="K66" s="70">
        <v>4.7653475619839E-2</v>
      </c>
      <c r="L66" s="70">
        <v>0.22531519062924499</v>
      </c>
      <c r="M66" s="70">
        <v>0.32334384690196299</v>
      </c>
      <c r="N66" s="70">
        <v>-1.8015034476235299E-3</v>
      </c>
      <c r="O66" s="70">
        <v>-3.06303551391096E-2</v>
      </c>
      <c r="P66" s="70">
        <v>0.19108785659473401</v>
      </c>
      <c r="Q66" s="70">
        <v>0.424402824467634</v>
      </c>
      <c r="R66" s="70">
        <v>0.47186352492300898</v>
      </c>
      <c r="S66" s="70">
        <v>9.7965615537248099E-2</v>
      </c>
      <c r="T66" s="70">
        <v>0.59272029241903101</v>
      </c>
      <c r="U66" s="70">
        <v>-8.1196069112337399E-2</v>
      </c>
      <c r="V66" s="70">
        <v>2.79027250348917E-3</v>
      </c>
      <c r="W66" s="70">
        <v>0.59756798300965297</v>
      </c>
      <c r="X66" s="70">
        <v>0.115585404741437</v>
      </c>
      <c r="Y66" s="70">
        <v>0.39036956926810201</v>
      </c>
      <c r="Z66" s="70">
        <v>-0.21215693772818101</v>
      </c>
      <c r="AA66" s="70">
        <v>0.11203790920484299</v>
      </c>
      <c r="AB66" s="70">
        <v>0.473729099526494</v>
      </c>
      <c r="AC66" s="70">
        <v>-2.91967997430191E-2</v>
      </c>
      <c r="AD66" s="70">
        <v>0.39214276269672099</v>
      </c>
      <c r="AE66" s="70">
        <v>0.27885929063509701</v>
      </c>
      <c r="AF66" s="71">
        <f t="shared" si="8"/>
        <v>0.24953981635661776</v>
      </c>
      <c r="AG66" s="74">
        <f t="shared" si="9"/>
        <v>0.23229505957923169</v>
      </c>
      <c r="AH66" s="76">
        <f t="shared" si="5"/>
        <v>2.0518305164802859</v>
      </c>
      <c r="AI66" s="74">
        <f t="shared" si="6"/>
        <v>0.15781231236934998</v>
      </c>
      <c r="AJ66" s="72">
        <f t="shared" si="7"/>
        <v>0.34126732034388552</v>
      </c>
    </row>
    <row r="67" spans="1:36" x14ac:dyDescent="0.4">
      <c r="A67" s="181"/>
      <c r="B67" s="183" t="s">
        <v>20</v>
      </c>
      <c r="C67" s="75">
        <v>10</v>
      </c>
      <c r="D67" s="70">
        <v>0.28917270102488102</v>
      </c>
      <c r="E67" s="70">
        <v>0.48696979914299698</v>
      </c>
      <c r="F67" s="70">
        <v>0.45179854361079202</v>
      </c>
      <c r="G67" s="70">
        <v>0.46044949493533199</v>
      </c>
      <c r="H67" s="70">
        <v>0.145616357212489</v>
      </c>
      <c r="I67" s="70">
        <v>0.177098567301015</v>
      </c>
      <c r="J67" s="70">
        <v>0.194904569922456</v>
      </c>
      <c r="K67" s="70">
        <v>0.398108099788402</v>
      </c>
      <c r="L67" s="70">
        <v>0.39023583168626802</v>
      </c>
      <c r="M67" s="70">
        <v>0.19211182592211101</v>
      </c>
      <c r="N67" s="70">
        <v>4.5653459375301901E-2</v>
      </c>
      <c r="O67" s="70">
        <v>0.19780498291426299</v>
      </c>
      <c r="P67" s="70">
        <v>0.26969620169217001</v>
      </c>
      <c r="Q67" s="70">
        <v>0.36185256298861601</v>
      </c>
      <c r="R67" s="70">
        <v>0.63528950647312799</v>
      </c>
      <c r="S67" s="70">
        <v>0.37259951917884798</v>
      </c>
      <c r="T67" s="70">
        <v>0.98130322394946701</v>
      </c>
      <c r="U67" s="70">
        <v>0.56793566365624304</v>
      </c>
      <c r="V67" s="70">
        <v>0.212151697410732</v>
      </c>
      <c r="W67" s="70">
        <v>0.54611149848908203</v>
      </c>
      <c r="X67" s="70">
        <v>0.20558271550387899</v>
      </c>
      <c r="Y67" s="70">
        <v>0.41240235643962803</v>
      </c>
      <c r="Z67" s="70">
        <v>7.99763384816429E-2</v>
      </c>
      <c r="AA67" s="70">
        <v>0.21127542392579801</v>
      </c>
      <c r="AB67" s="70">
        <v>0.36645754958639998</v>
      </c>
      <c r="AC67" s="70">
        <v>0.28885989905711501</v>
      </c>
      <c r="AD67" s="70">
        <v>0.40260301658689401</v>
      </c>
      <c r="AE67" s="70">
        <v>0.43242678236445897</v>
      </c>
      <c r="AF67" s="71">
        <f t="shared" si="8"/>
        <v>0.34915886387930034</v>
      </c>
      <c r="AG67" s="74">
        <f t="shared" si="9"/>
        <v>0.19320366606180742</v>
      </c>
      <c r="AH67" s="76">
        <f t="shared" si="5"/>
        <v>2.0518305164802859</v>
      </c>
      <c r="AI67" s="74">
        <f t="shared" si="6"/>
        <v>0.27286757261748806</v>
      </c>
      <c r="AJ67" s="72">
        <f t="shared" si="7"/>
        <v>0.42545015514111262</v>
      </c>
    </row>
    <row r="68" spans="1:36" x14ac:dyDescent="0.4">
      <c r="A68" s="181"/>
      <c r="B68" s="184"/>
      <c r="C68" s="75">
        <v>11</v>
      </c>
      <c r="D68" s="70">
        <v>9.1427414227211994E-3</v>
      </c>
      <c r="E68" s="70">
        <v>0.107313533202372</v>
      </c>
      <c r="F68" s="70">
        <v>7.0376672266505097E-2</v>
      </c>
      <c r="G68" s="70">
        <v>0.14479227818450999</v>
      </c>
      <c r="H68" s="70">
        <v>-2.0626352695472801E-2</v>
      </c>
      <c r="I68" s="70">
        <v>0.14795883889793501</v>
      </c>
      <c r="J68" s="70">
        <v>4.38110262399646E-2</v>
      </c>
      <c r="K68" s="70">
        <v>0.38458983553736897</v>
      </c>
      <c r="L68" s="70">
        <v>0.50865957243016102</v>
      </c>
      <c r="M68" s="70">
        <v>-0.14346626365430301</v>
      </c>
      <c r="N68" s="70">
        <v>3.9911260112091798E-2</v>
      </c>
      <c r="O68" s="70">
        <v>0.37123058161428402</v>
      </c>
      <c r="P68" s="70">
        <v>-9.8889594208912898E-3</v>
      </c>
      <c r="Q68" s="70">
        <v>0.27931980186937699</v>
      </c>
      <c r="R68" s="70">
        <v>0.28848774292818202</v>
      </c>
      <c r="S68" s="70">
        <v>7.5232859176679698E-2</v>
      </c>
      <c r="T68" s="70">
        <v>-0.469105914091827</v>
      </c>
      <c r="U68" s="70">
        <v>0.217628611015101</v>
      </c>
      <c r="V68" s="70">
        <v>8.8166545299955601E-2</v>
      </c>
      <c r="W68" s="70">
        <v>0.29724564529092801</v>
      </c>
      <c r="X68" s="70">
        <v>2.1267288834295E-2</v>
      </c>
      <c r="Y68" s="70">
        <v>6.7403954965740795E-2</v>
      </c>
      <c r="Z68" s="70">
        <v>-1.7601231875161698E-2</v>
      </c>
      <c r="AA68" s="70">
        <v>1.7780054720844801E-2</v>
      </c>
      <c r="AB68" s="70">
        <v>-7.6623744228854193E-2</v>
      </c>
      <c r="AC68" s="70">
        <v>-3.9020323098370099E-2</v>
      </c>
      <c r="AD68" s="70">
        <v>0.145639042580995</v>
      </c>
      <c r="AE68" s="70">
        <v>0.228706075270807</v>
      </c>
      <c r="AF68" s="71">
        <f t="shared" si="8"/>
        <v>9.9226113314140704E-2</v>
      </c>
      <c r="AG68" s="74">
        <f t="shared" si="9"/>
        <v>0.18952069674507216</v>
      </c>
      <c r="AH68" s="76">
        <f t="shared" si="5"/>
        <v>2.0518305164802859</v>
      </c>
      <c r="AI68" s="74">
        <f t="shared" si="6"/>
        <v>2.4389134439762566E-2</v>
      </c>
      <c r="AJ68" s="72">
        <f t="shared" si="7"/>
        <v>0.17406309218851884</v>
      </c>
    </row>
    <row r="69" spans="1:36" x14ac:dyDescent="0.4">
      <c r="A69" s="181"/>
      <c r="B69" s="183" t="s">
        <v>21</v>
      </c>
      <c r="C69" s="75">
        <v>12</v>
      </c>
      <c r="D69" s="70">
        <v>-9.5775428063447507E-2</v>
      </c>
      <c r="E69" s="70">
        <v>-0.105788142047131</v>
      </c>
      <c r="F69" s="70">
        <v>-0.25961654325351402</v>
      </c>
      <c r="G69" s="70">
        <v>-9.0960831247443197E-2</v>
      </c>
      <c r="H69" s="70">
        <v>-0.13420272505219</v>
      </c>
      <c r="I69" s="70">
        <v>-0.14027733061177999</v>
      </c>
      <c r="J69" s="70">
        <v>3.7349059338737299E-2</v>
      </c>
      <c r="K69" s="70">
        <v>0.369764380639381</v>
      </c>
      <c r="L69" s="70">
        <v>0.365366846130044</v>
      </c>
      <c r="M69" s="70">
        <v>-0.10689286858580201</v>
      </c>
      <c r="N69" s="70">
        <v>-4.0896062161905798E-2</v>
      </c>
      <c r="O69" s="70">
        <v>-0.24651594276968999</v>
      </c>
      <c r="P69" s="70">
        <v>5.1517333510559997E-3</v>
      </c>
      <c r="Q69" s="70">
        <v>1.25506330024052E-2</v>
      </c>
      <c r="R69" s="70">
        <v>1.8324529638164201E-2</v>
      </c>
      <c r="S69" s="70">
        <v>-0.18280437915284101</v>
      </c>
      <c r="T69" s="70">
        <v>-0.41660960516762202</v>
      </c>
      <c r="U69" s="70">
        <v>0.16109727855247499</v>
      </c>
      <c r="V69" s="70">
        <v>-0.15934882318737201</v>
      </c>
      <c r="W69" s="70">
        <v>-0.13579951765457501</v>
      </c>
      <c r="X69" s="70">
        <v>-5.7713915117702103E-2</v>
      </c>
      <c r="Y69" s="70">
        <v>-0.18972183117855901</v>
      </c>
      <c r="Z69" s="70">
        <v>-0.260867535750819</v>
      </c>
      <c r="AA69" s="70">
        <v>-0.118034250073492</v>
      </c>
      <c r="AB69" s="70">
        <v>-0.15571173688408599</v>
      </c>
      <c r="AC69" s="70">
        <v>-2.98141249812005E-2</v>
      </c>
      <c r="AD69" s="70">
        <v>-7.2661977711021503E-3</v>
      </c>
      <c r="AE69" s="70">
        <v>-0.34852635511549501</v>
      </c>
      <c r="AF69" s="71">
        <f t="shared" si="8"/>
        <v>-8.2626417327696641E-2</v>
      </c>
      <c r="AG69" s="74">
        <f t="shared" si="9"/>
        <v>0.17567899669023646</v>
      </c>
      <c r="AH69" s="76">
        <f t="shared" si="5"/>
        <v>2.0518305164802859</v>
      </c>
      <c r="AI69" s="74">
        <f t="shared" si="6"/>
        <v>-0.15199765534959897</v>
      </c>
      <c r="AJ69" s="72">
        <f t="shared" si="7"/>
        <v>-1.3255179305794298E-2</v>
      </c>
    </row>
    <row r="70" spans="1:36" x14ac:dyDescent="0.4">
      <c r="A70" s="181"/>
      <c r="B70" s="185"/>
      <c r="C70" s="75">
        <v>13</v>
      </c>
      <c r="D70" s="70">
        <v>-2.71006341846344E-2</v>
      </c>
      <c r="E70" s="70">
        <v>-0.120196292166752</v>
      </c>
      <c r="F70" s="70">
        <v>3.0757559631467701E-2</v>
      </c>
      <c r="G70" s="70">
        <v>-0.16845618689042299</v>
      </c>
      <c r="H70" s="70">
        <v>-2.93055660309278E-2</v>
      </c>
      <c r="I70" s="70">
        <v>-0.14444425429857599</v>
      </c>
      <c r="J70" s="70">
        <v>5.3739713581819601E-2</v>
      </c>
      <c r="K70" s="70">
        <v>0.18525920323186501</v>
      </c>
      <c r="L70" s="70">
        <v>3.5681384727538998E-2</v>
      </c>
      <c r="M70" s="70">
        <v>-0.18098919180870601</v>
      </c>
      <c r="N70" s="70">
        <v>4.4344356952592499E-2</v>
      </c>
      <c r="O70" s="70">
        <v>-7.3747711948939795E-2</v>
      </c>
      <c r="P70" s="70">
        <v>7.6298947388409005E-2</v>
      </c>
      <c r="Q70" s="70">
        <v>-0.18587502869155501</v>
      </c>
      <c r="R70" s="70">
        <v>-8.1598453403302004E-2</v>
      </c>
      <c r="S70" s="70">
        <v>-0.13374487024613299</v>
      </c>
      <c r="T70" s="70">
        <v>-5.6009573329376297E-2</v>
      </c>
      <c r="U70" s="70">
        <v>-0.19845674568062999</v>
      </c>
      <c r="V70" s="70">
        <v>-0.223676736011995</v>
      </c>
      <c r="W70" s="70">
        <v>-0.16254112613080399</v>
      </c>
      <c r="X70" s="70">
        <v>-0.101233375944843</v>
      </c>
      <c r="Y70" s="70">
        <v>-8.5619066237541105E-2</v>
      </c>
      <c r="Z70" s="70">
        <v>-0.13204116548540401</v>
      </c>
      <c r="AA70" s="70">
        <v>-7.3750842966845198E-2</v>
      </c>
      <c r="AB70" s="70">
        <v>7.0989449886596306E-2</v>
      </c>
      <c r="AC70" s="70">
        <v>-1.9963761398116699E-2</v>
      </c>
      <c r="AD70" s="70">
        <v>1.0135570168557701E-2</v>
      </c>
      <c r="AE70" s="70">
        <v>-0.16733040080060799</v>
      </c>
      <c r="AF70" s="71">
        <f t="shared" si="8"/>
        <v>-6.6388385645973783E-2</v>
      </c>
      <c r="AG70" s="74">
        <f t="shared" si="9"/>
        <v>0.10171636738336132</v>
      </c>
      <c r="AH70" s="76">
        <f t="shared" si="5"/>
        <v>2.0518305164802859</v>
      </c>
      <c r="AI70" s="74">
        <f t="shared" si="6"/>
        <v>-0.10655363286056342</v>
      </c>
      <c r="AJ70" s="72">
        <f t="shared" si="7"/>
        <v>-2.6223138431384144E-2</v>
      </c>
    </row>
    <row r="71" spans="1:36" x14ac:dyDescent="0.4">
      <c r="A71" s="181"/>
      <c r="B71" s="185"/>
      <c r="C71" s="75">
        <v>14</v>
      </c>
      <c r="D71" s="70">
        <v>-0.18949597287553299</v>
      </c>
      <c r="E71" s="70">
        <v>-0.26007919196552998</v>
      </c>
      <c r="F71" s="70">
        <v>-8.8744467976269406E-2</v>
      </c>
      <c r="G71" s="70">
        <v>-0.15574794528980301</v>
      </c>
      <c r="H71" s="70">
        <v>2.4542886598368299E-2</v>
      </c>
      <c r="I71" s="70">
        <v>-0.25149108694303302</v>
      </c>
      <c r="J71" s="70">
        <v>-3.5368868623010002E-2</v>
      </c>
      <c r="K71" s="70">
        <v>2.1568645673681799E-3</v>
      </c>
      <c r="L71" s="70">
        <v>-0.121105415188907</v>
      </c>
      <c r="M71" s="70">
        <v>-0.103422161444143</v>
      </c>
      <c r="N71" s="70">
        <v>-5.3094516555262303E-2</v>
      </c>
      <c r="O71" s="70">
        <v>-9.8428887780457303E-2</v>
      </c>
      <c r="P71" s="70">
        <v>-8.3700863122544406E-2</v>
      </c>
      <c r="Q71" s="70">
        <v>-3.5838361224520499E-2</v>
      </c>
      <c r="R71" s="70">
        <v>-0.18726280343319901</v>
      </c>
      <c r="S71" s="70">
        <v>-0.14525734583234801</v>
      </c>
      <c r="T71" s="70">
        <v>-0.20403035791184701</v>
      </c>
      <c r="U71" s="70">
        <v>-0.48769407489372402</v>
      </c>
      <c r="V71" s="70">
        <v>-0.10266383069836101</v>
      </c>
      <c r="W71" s="70">
        <v>-0.25292776278044399</v>
      </c>
      <c r="X71" s="70">
        <v>-0.20248035055257599</v>
      </c>
      <c r="Y71" s="70">
        <v>-4.88498777374246E-2</v>
      </c>
      <c r="Z71" s="70">
        <v>-2.9120806153414901E-2</v>
      </c>
      <c r="AA71" s="70">
        <v>-0.16225837551063099</v>
      </c>
      <c r="AB71" s="70">
        <v>-2.77013429041943E-2</v>
      </c>
      <c r="AC71" s="70">
        <v>-1.47299169874628E-2</v>
      </c>
      <c r="AD71" s="70">
        <v>-2.92103389597002E-2</v>
      </c>
      <c r="AE71" s="70">
        <v>-0.12650072234603699</v>
      </c>
      <c r="AF71" s="71">
        <f t="shared" si="8"/>
        <v>-0.12394663909016572</v>
      </c>
      <c r="AG71" s="74">
        <f t="shared" si="9"/>
        <v>0.10807146896136603</v>
      </c>
      <c r="AH71" s="76">
        <f t="shared" si="5"/>
        <v>2.0518305164802859</v>
      </c>
      <c r="AI71" s="74">
        <f t="shared" si="6"/>
        <v>-0.1666213568306969</v>
      </c>
      <c r="AJ71" s="72">
        <f t="shared" si="7"/>
        <v>-8.1271921349634527E-2</v>
      </c>
    </row>
    <row r="72" spans="1:36" x14ac:dyDescent="0.4">
      <c r="A72" s="181"/>
      <c r="B72" s="185"/>
      <c r="C72" s="75">
        <v>15</v>
      </c>
      <c r="D72" s="70">
        <v>-0.18657744304027801</v>
      </c>
      <c r="E72" s="70">
        <v>-0.29197648028073703</v>
      </c>
      <c r="F72" s="70">
        <v>-0.242620178365726</v>
      </c>
      <c r="G72" s="70">
        <v>-0.341997054761151</v>
      </c>
      <c r="H72" s="70">
        <v>-1.50890768041449E-2</v>
      </c>
      <c r="I72" s="70">
        <v>-0.15737608643013301</v>
      </c>
      <c r="J72" s="70">
        <v>-0.21017478011906099</v>
      </c>
      <c r="K72" s="70">
        <v>4.9944247521267401E-3</v>
      </c>
      <c r="L72" s="70">
        <v>-0.29771260960877999</v>
      </c>
      <c r="M72" s="70">
        <v>2.31276791464551E-2</v>
      </c>
      <c r="N72" s="70">
        <v>-9.9061862988719399E-2</v>
      </c>
      <c r="O72" s="70">
        <v>-0.187771158647663</v>
      </c>
      <c r="P72" s="70">
        <v>-0.20293092176939301</v>
      </c>
      <c r="Q72" s="70">
        <v>-0.346098852837954</v>
      </c>
      <c r="R72" s="70">
        <v>-0.2592038716067</v>
      </c>
      <c r="S72" s="70">
        <v>-0.177749408908141</v>
      </c>
      <c r="T72" s="70">
        <v>-0.13577542876701801</v>
      </c>
      <c r="U72" s="70">
        <v>-0.49427474179354602</v>
      </c>
      <c r="V72" s="70">
        <v>-7.1182277887473305E-2</v>
      </c>
      <c r="W72" s="70">
        <v>-0.22517278808827201</v>
      </c>
      <c r="X72" s="70">
        <v>-7.7566263080001294E-2</v>
      </c>
      <c r="Y72" s="70">
        <v>-0.20994488485361201</v>
      </c>
      <c r="Z72" s="70">
        <v>7.7135538489954997E-2</v>
      </c>
      <c r="AA72" s="70">
        <v>-0.19136567522866699</v>
      </c>
      <c r="AB72" s="70">
        <v>-8.1893054252958494E-2</v>
      </c>
      <c r="AC72" s="70">
        <v>-9.0956163788519007E-2</v>
      </c>
      <c r="AD72" s="70">
        <v>-0.119130136162581</v>
      </c>
      <c r="AE72" s="70">
        <v>-0.19356175846696999</v>
      </c>
      <c r="AF72" s="71">
        <f t="shared" si="8"/>
        <v>-0.17149661843391656</v>
      </c>
      <c r="AG72" s="74">
        <f t="shared" si="9"/>
        <v>0.12373365345840596</v>
      </c>
      <c r="AH72" s="76">
        <f t="shared" si="5"/>
        <v>2.0518305164802859</v>
      </c>
      <c r="AI72" s="74">
        <f t="shared" si="6"/>
        <v>-0.22035594076097595</v>
      </c>
      <c r="AJ72" s="72">
        <f t="shared" si="7"/>
        <v>-0.12263729610685717</v>
      </c>
    </row>
    <row r="73" spans="1:36" x14ac:dyDescent="0.4">
      <c r="A73" s="181"/>
      <c r="B73" s="185"/>
      <c r="C73" s="75">
        <v>16</v>
      </c>
      <c r="D73" s="70">
        <v>-9.7651625814705698E-2</v>
      </c>
      <c r="E73" s="70">
        <v>-0.49363017042470803</v>
      </c>
      <c r="F73" s="70">
        <v>-1.9411020864964702E-2</v>
      </c>
      <c r="G73" s="70">
        <v>-0.30356777514968702</v>
      </c>
      <c r="H73" s="70">
        <v>-0.112551354151008</v>
      </c>
      <c r="I73" s="70">
        <v>-0.28295854512978702</v>
      </c>
      <c r="J73" s="70">
        <v>-0.263284937268849</v>
      </c>
      <c r="K73" s="70">
        <v>-0.18703506954985</v>
      </c>
      <c r="L73" s="70">
        <v>-0.35686215169610502</v>
      </c>
      <c r="M73" s="70">
        <v>-3.42044737317053E-2</v>
      </c>
      <c r="N73" s="70">
        <v>-4.5953957885984602E-2</v>
      </c>
      <c r="O73" s="70">
        <v>-3.4335519549642798E-2</v>
      </c>
      <c r="P73" s="70">
        <v>-0.14703165414455499</v>
      </c>
      <c r="Q73" s="70">
        <v>-0.50310420715432203</v>
      </c>
      <c r="R73" s="70">
        <v>-0.23539749636670099</v>
      </c>
      <c r="S73" s="70">
        <v>-0.34035582169305201</v>
      </c>
      <c r="T73" s="70">
        <v>-0.32403581765765899</v>
      </c>
      <c r="U73" s="70">
        <v>-0.83618577114867698</v>
      </c>
      <c r="V73" s="70">
        <v>2.75691054962834E-2</v>
      </c>
      <c r="W73" s="70">
        <v>-0.30469388697810001</v>
      </c>
      <c r="X73" s="70">
        <v>-0.146660219223292</v>
      </c>
      <c r="Y73" s="70">
        <v>-0.28905609198592602</v>
      </c>
      <c r="Z73" s="70">
        <v>7.4242613727776005E-2</v>
      </c>
      <c r="AA73" s="70">
        <v>-0.13596695509325199</v>
      </c>
      <c r="AB73" s="70">
        <v>-0.160545966264038</v>
      </c>
      <c r="AC73" s="70">
        <v>-2.2969866905754002E-2</v>
      </c>
      <c r="AD73" s="70">
        <v>-0.26176705388848998</v>
      </c>
      <c r="AE73" s="70">
        <v>-0.14754283316966599</v>
      </c>
      <c r="AF73" s="71">
        <f t="shared" si="8"/>
        <v>-0.21374816155951507</v>
      </c>
      <c r="AG73" s="74">
        <f t="shared" si="9"/>
        <v>0.19097763055986278</v>
      </c>
      <c r="AH73" s="76">
        <f t="shared" si="5"/>
        <v>2.0518305164802859</v>
      </c>
      <c r="AI73" s="74">
        <f t="shared" si="6"/>
        <v>-0.28916044712594025</v>
      </c>
      <c r="AJ73" s="72">
        <f t="shared" si="7"/>
        <v>-0.13833587599308989</v>
      </c>
    </row>
    <row r="74" spans="1:36" x14ac:dyDescent="0.4">
      <c r="A74" s="181"/>
      <c r="B74" s="185"/>
      <c r="C74" s="75">
        <v>17</v>
      </c>
      <c r="D74" s="70">
        <v>-0.14008943209279301</v>
      </c>
      <c r="E74" s="70">
        <v>-0.65807035753434195</v>
      </c>
      <c r="F74" s="70">
        <v>7.2017700600483098E-2</v>
      </c>
      <c r="G74" s="70">
        <v>-0.149130799881177</v>
      </c>
      <c r="H74" s="70">
        <v>-8.5829331731275701E-2</v>
      </c>
      <c r="I74" s="70">
        <v>-0.116454022084994</v>
      </c>
      <c r="J74" s="70">
        <v>-0.23921203052940099</v>
      </c>
      <c r="K74" s="70">
        <v>-0.38493098041358498</v>
      </c>
      <c r="L74" s="70">
        <v>-0.43355710589894098</v>
      </c>
      <c r="M74" s="70">
        <v>-2.0157932563961301E-2</v>
      </c>
      <c r="N74" s="70">
        <v>4.7557608353770299E-2</v>
      </c>
      <c r="O74" s="70">
        <v>-8.4146076584985893E-2</v>
      </c>
      <c r="P74" s="70">
        <v>-0.22874880385039301</v>
      </c>
      <c r="Q74" s="70">
        <v>-0.34332817011472999</v>
      </c>
      <c r="R74" s="70">
        <v>-0.190191480533385</v>
      </c>
      <c r="S74" s="70">
        <v>-0.41807964164057398</v>
      </c>
      <c r="T74" s="70">
        <v>-0.26609208445965699</v>
      </c>
      <c r="U74" s="70">
        <v>0.122889699612557</v>
      </c>
      <c r="V74" s="70">
        <v>3.8942498852804798E-2</v>
      </c>
      <c r="W74" s="70">
        <v>-0.38818400354702398</v>
      </c>
      <c r="X74" s="70">
        <v>-0.25724947522502301</v>
      </c>
      <c r="Y74" s="70">
        <v>-0.28244912842730202</v>
      </c>
      <c r="Z74" s="70">
        <v>0.14588811076592301</v>
      </c>
      <c r="AA74" s="70">
        <v>-5.8930425595121898E-2</v>
      </c>
      <c r="AB74" s="70">
        <v>-0.140073004840118</v>
      </c>
      <c r="AC74" s="70">
        <v>-5.6815394094527898E-2</v>
      </c>
      <c r="AD74" s="70">
        <v>-0.21970211851969099</v>
      </c>
      <c r="AE74" s="70">
        <v>-0.13508293827814499</v>
      </c>
      <c r="AF74" s="71">
        <f t="shared" si="8"/>
        <v>-0.1739003257234146</v>
      </c>
      <c r="AG74" s="74">
        <f t="shared" si="9"/>
        <v>0.18626381569061168</v>
      </c>
      <c r="AH74" s="76">
        <f t="shared" si="5"/>
        <v>2.0518305164802859</v>
      </c>
      <c r="AI74" s="74">
        <f t="shared" si="6"/>
        <v>-0.24745124379886652</v>
      </c>
      <c r="AJ74" s="72">
        <f t="shared" si="7"/>
        <v>-0.10034940764796267</v>
      </c>
    </row>
    <row r="75" spans="1:36" ht="14.25" thickBot="1" x14ac:dyDescent="0.45">
      <c r="A75" s="182"/>
      <c r="B75" s="186"/>
      <c r="C75" s="77">
        <v>18</v>
      </c>
      <c r="D75" s="78">
        <v>-0.157392144687591</v>
      </c>
      <c r="E75" s="78">
        <v>-0.65649965773091801</v>
      </c>
      <c r="F75" s="78">
        <v>-0.145096208802556</v>
      </c>
      <c r="G75" s="78">
        <v>-0.14267977527784101</v>
      </c>
      <c r="H75" s="78">
        <v>4.2772345431813998E-2</v>
      </c>
      <c r="I75" s="78">
        <v>-0.196286532443707</v>
      </c>
      <c r="J75" s="78">
        <v>-0.19178729490219801</v>
      </c>
      <c r="K75" s="78">
        <v>-0.25433944651670898</v>
      </c>
      <c r="L75" s="78">
        <v>-0.459859642000992</v>
      </c>
      <c r="M75" s="78">
        <v>5.2830056349790697E-3</v>
      </c>
      <c r="N75" s="78">
        <v>4.7081571109146098E-2</v>
      </c>
      <c r="O75" s="78">
        <v>-0.21269137734436999</v>
      </c>
      <c r="P75" s="78">
        <v>-0.39147251935153798</v>
      </c>
      <c r="Q75" s="78">
        <v>-0.26087936907796899</v>
      </c>
      <c r="R75" s="78">
        <v>-0.23786222461932</v>
      </c>
      <c r="S75" s="78">
        <v>-0.28989377768955599</v>
      </c>
      <c r="T75" s="78">
        <v>-0.27329046653572597</v>
      </c>
      <c r="U75" s="78">
        <v>-0.49260121012503</v>
      </c>
      <c r="V75" s="78">
        <v>-1.28898458040538E-2</v>
      </c>
      <c r="W75" s="78">
        <v>-0.27753004257856101</v>
      </c>
      <c r="X75" s="78">
        <v>-0.38321456935446402</v>
      </c>
      <c r="Y75" s="78">
        <v>-0.27397497951517302</v>
      </c>
      <c r="Z75" s="78">
        <v>0.143386121782413</v>
      </c>
      <c r="AA75" s="78">
        <v>-1.7522179458580901E-2</v>
      </c>
      <c r="AB75" s="78">
        <v>-0.17055282108043399</v>
      </c>
      <c r="AC75" s="78">
        <v>-0.128988766505784</v>
      </c>
      <c r="AD75" s="78">
        <v>-0.29564292199158598</v>
      </c>
      <c r="AE75" s="78">
        <v>-0.130492450686546</v>
      </c>
      <c r="AF75" s="79">
        <f t="shared" si="8"/>
        <v>-0.20767561357581607</v>
      </c>
      <c r="AG75" s="81">
        <f t="shared" si="9"/>
        <v>0.17635611332622336</v>
      </c>
      <c r="AH75" s="73">
        <f t="shared" si="5"/>
        <v>2.0518305164802859</v>
      </c>
      <c r="AI75" s="81">
        <f t="shared" si="6"/>
        <v>-0.27731422800701372</v>
      </c>
      <c r="AJ75" s="80">
        <f t="shared" si="7"/>
        <v>-0.13803699914461842</v>
      </c>
    </row>
  </sheetData>
  <mergeCells count="21">
    <mergeCell ref="A40:A57"/>
    <mergeCell ref="B43:B44"/>
    <mergeCell ref="B45:B48"/>
    <mergeCell ref="B49:B50"/>
    <mergeCell ref="B51:B57"/>
    <mergeCell ref="A58:A75"/>
    <mergeCell ref="B61:B62"/>
    <mergeCell ref="B63:B66"/>
    <mergeCell ref="B67:B68"/>
    <mergeCell ref="B69:B75"/>
    <mergeCell ref="AF38:AJ38"/>
    <mergeCell ref="A2:A19"/>
    <mergeCell ref="B5:B6"/>
    <mergeCell ref="B7:B10"/>
    <mergeCell ref="B11:B12"/>
    <mergeCell ref="B13:B19"/>
    <mergeCell ref="A20:A37"/>
    <mergeCell ref="B23:B24"/>
    <mergeCell ref="B25:B28"/>
    <mergeCell ref="B29:B30"/>
    <mergeCell ref="B31:B3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9518-F059-4F81-8127-6B66F0B85D99}">
  <dimension ref="A1:P70"/>
  <sheetViews>
    <sheetView tabSelected="1" workbookViewId="0">
      <selection activeCell="A3" sqref="A1:A1048576"/>
    </sheetView>
  </sheetViews>
  <sheetFormatPr defaultRowHeight="13.9" x14ac:dyDescent="0.4"/>
  <cols>
    <col min="16" max="16" width="30.53125" customWidth="1"/>
  </cols>
  <sheetData>
    <row r="1" spans="1:16" ht="28.5" customHeight="1" thickBot="1" x14ac:dyDescent="0.45">
      <c r="A1" s="194" t="s">
        <v>23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O1" s="83" t="s">
        <v>24</v>
      </c>
      <c r="P1" s="83" t="s">
        <v>25</v>
      </c>
    </row>
    <row r="2" spans="1:16" ht="18" customHeight="1" thickBot="1" x14ac:dyDescent="0.45">
      <c r="A2" s="195" t="s">
        <v>26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7"/>
      <c r="O2" s="2"/>
      <c r="P2" s="84" t="s">
        <v>27</v>
      </c>
    </row>
    <row r="3" spans="1:16" ht="18" customHeight="1" x14ac:dyDescent="0.4">
      <c r="A3" s="198" t="s">
        <v>28</v>
      </c>
      <c r="B3" s="201" t="s">
        <v>29</v>
      </c>
      <c r="C3" s="202"/>
      <c r="D3" s="202"/>
      <c r="E3" s="202"/>
      <c r="F3" s="202"/>
      <c r="G3" s="203"/>
      <c r="H3" s="202" t="s">
        <v>30</v>
      </c>
      <c r="I3" s="202"/>
      <c r="J3" s="202"/>
      <c r="K3" s="202"/>
      <c r="L3" s="202"/>
      <c r="M3" s="203"/>
      <c r="O3" s="2"/>
      <c r="P3" s="84" t="s">
        <v>31</v>
      </c>
    </row>
    <row r="4" spans="1:16" ht="18" customHeight="1" x14ac:dyDescent="0.4">
      <c r="A4" s="199"/>
      <c r="B4" s="204" t="s">
        <v>32</v>
      </c>
      <c r="C4" s="205"/>
      <c r="D4" s="206" t="s">
        <v>33</v>
      </c>
      <c r="E4" s="205"/>
      <c r="F4" s="206" t="s">
        <v>34</v>
      </c>
      <c r="G4" s="207"/>
      <c r="H4" s="208" t="s">
        <v>32</v>
      </c>
      <c r="I4" s="205"/>
      <c r="J4" s="206" t="s">
        <v>33</v>
      </c>
      <c r="K4" s="205"/>
      <c r="L4" s="206" t="s">
        <v>34</v>
      </c>
      <c r="M4" s="207"/>
      <c r="O4" s="2"/>
      <c r="P4" s="84" t="s">
        <v>35</v>
      </c>
    </row>
    <row r="5" spans="1:16" ht="18" customHeight="1" thickBot="1" x14ac:dyDescent="0.45">
      <c r="A5" s="200"/>
      <c r="B5" s="85" t="s">
        <v>36</v>
      </c>
      <c r="C5" s="86" t="s">
        <v>37</v>
      </c>
      <c r="D5" s="86" t="s">
        <v>36</v>
      </c>
      <c r="E5" s="86" t="s">
        <v>37</v>
      </c>
      <c r="F5" s="86" t="s">
        <v>36</v>
      </c>
      <c r="G5" s="87" t="s">
        <v>37</v>
      </c>
      <c r="H5" s="88" t="s">
        <v>36</v>
      </c>
      <c r="I5" s="86" t="s">
        <v>37</v>
      </c>
      <c r="J5" s="86" t="s">
        <v>36</v>
      </c>
      <c r="K5" s="86" t="s">
        <v>37</v>
      </c>
      <c r="L5" s="86" t="s">
        <v>36</v>
      </c>
      <c r="M5" s="87" t="s">
        <v>37</v>
      </c>
      <c r="O5" s="2"/>
      <c r="P5" s="84" t="s">
        <v>38</v>
      </c>
    </row>
    <row r="6" spans="1:16" ht="18" customHeight="1" thickBot="1" x14ac:dyDescent="0.45">
      <c r="A6" s="83" t="s">
        <v>39</v>
      </c>
      <c r="B6" s="89">
        <v>-1.095</v>
      </c>
      <c r="C6" s="90" t="s">
        <v>40</v>
      </c>
      <c r="D6" s="90" t="s">
        <v>41</v>
      </c>
      <c r="E6" s="90" t="s">
        <v>42</v>
      </c>
      <c r="F6" s="90" t="s">
        <v>43</v>
      </c>
      <c r="G6" s="91" t="s">
        <v>40</v>
      </c>
      <c r="H6" s="92" t="s">
        <v>44</v>
      </c>
      <c r="I6" s="90" t="s">
        <v>40</v>
      </c>
      <c r="J6" s="90" t="s">
        <v>45</v>
      </c>
      <c r="K6" s="90" t="s">
        <v>46</v>
      </c>
      <c r="L6" s="90" t="s">
        <v>47</v>
      </c>
      <c r="M6" s="93" t="s">
        <v>40</v>
      </c>
      <c r="O6" s="2"/>
      <c r="P6" s="84"/>
    </row>
    <row r="7" spans="1:16" ht="18" customHeight="1" thickBot="1" x14ac:dyDescent="0.45">
      <c r="A7" s="94" t="s">
        <v>33</v>
      </c>
      <c r="B7" s="95" t="s">
        <v>48</v>
      </c>
      <c r="C7" s="96" t="s">
        <v>49</v>
      </c>
      <c r="D7" s="96" t="s">
        <v>50</v>
      </c>
      <c r="E7" s="96" t="s">
        <v>40</v>
      </c>
      <c r="F7" s="96" t="s">
        <v>51</v>
      </c>
      <c r="G7" s="97" t="s">
        <v>40</v>
      </c>
      <c r="H7" s="98" t="s">
        <v>52</v>
      </c>
      <c r="I7" s="96" t="s">
        <v>53</v>
      </c>
      <c r="J7" s="96" t="s">
        <v>54</v>
      </c>
      <c r="K7" s="96" t="s">
        <v>55</v>
      </c>
      <c r="L7" s="96" t="s">
        <v>56</v>
      </c>
      <c r="M7" s="99" t="s">
        <v>57</v>
      </c>
      <c r="O7" s="2">
        <v>1</v>
      </c>
      <c r="P7" s="84" t="s">
        <v>58</v>
      </c>
    </row>
    <row r="8" spans="1:16" ht="18" customHeight="1" thickBot="1" x14ac:dyDescent="0.45">
      <c r="A8" s="94" t="s">
        <v>34</v>
      </c>
      <c r="B8" s="100" t="s">
        <v>59</v>
      </c>
      <c r="C8" s="101" t="s">
        <v>40</v>
      </c>
      <c r="D8" s="101" t="s">
        <v>60</v>
      </c>
      <c r="E8" s="101" t="s">
        <v>40</v>
      </c>
      <c r="F8" s="101" t="s">
        <v>61</v>
      </c>
      <c r="G8" s="102" t="s">
        <v>40</v>
      </c>
      <c r="H8" s="103" t="s">
        <v>62</v>
      </c>
      <c r="I8" s="101" t="s">
        <v>63</v>
      </c>
      <c r="J8" s="101" t="s">
        <v>64</v>
      </c>
      <c r="K8" s="101" t="s">
        <v>40</v>
      </c>
      <c r="L8" s="101" t="s">
        <v>65</v>
      </c>
      <c r="M8" s="104" t="s">
        <v>40</v>
      </c>
      <c r="O8" s="2">
        <v>2</v>
      </c>
      <c r="P8" s="84" t="s">
        <v>66</v>
      </c>
    </row>
    <row r="9" spans="1:16" ht="18" customHeight="1" thickBot="1" x14ac:dyDescent="0.45">
      <c r="O9" s="2">
        <v>3</v>
      </c>
      <c r="P9" s="84" t="s">
        <v>67</v>
      </c>
    </row>
    <row r="10" spans="1:16" ht="18" customHeight="1" thickBot="1" x14ac:dyDescent="0.45">
      <c r="A10" s="195" t="s">
        <v>68</v>
      </c>
      <c r="B10" s="196"/>
      <c r="C10" s="211"/>
      <c r="D10" s="211"/>
      <c r="E10" s="211"/>
      <c r="F10" s="211"/>
      <c r="G10" s="211"/>
      <c r="H10" s="211"/>
      <c r="I10" s="211"/>
      <c r="J10" s="212"/>
      <c r="O10" s="2">
        <v>4</v>
      </c>
      <c r="P10" s="84" t="s">
        <v>69</v>
      </c>
    </row>
    <row r="11" spans="1:16" ht="18" customHeight="1" x14ac:dyDescent="0.4">
      <c r="A11" s="213" t="s">
        <v>28</v>
      </c>
      <c r="B11" s="214"/>
      <c r="C11" s="217" t="s">
        <v>29</v>
      </c>
      <c r="D11" s="218"/>
      <c r="E11" s="218"/>
      <c r="F11" s="219"/>
      <c r="G11" s="217" t="s">
        <v>30</v>
      </c>
      <c r="H11" s="218"/>
      <c r="I11" s="218"/>
      <c r="J11" s="219"/>
      <c r="O11" s="2">
        <v>5</v>
      </c>
      <c r="P11" s="84" t="s">
        <v>70</v>
      </c>
    </row>
    <row r="12" spans="1:16" ht="18" customHeight="1" x14ac:dyDescent="0.4">
      <c r="A12" s="215"/>
      <c r="B12" s="216"/>
      <c r="C12" s="220" t="s">
        <v>3</v>
      </c>
      <c r="D12" s="221"/>
      <c r="E12" s="221" t="s">
        <v>71</v>
      </c>
      <c r="F12" s="222"/>
      <c r="G12" s="220" t="s">
        <v>3</v>
      </c>
      <c r="H12" s="221"/>
      <c r="I12" s="221" t="s">
        <v>71</v>
      </c>
      <c r="J12" s="222"/>
      <c r="O12" s="2">
        <v>6</v>
      </c>
      <c r="P12" s="84" t="s">
        <v>72</v>
      </c>
    </row>
    <row r="13" spans="1:16" ht="18" customHeight="1" thickBot="1" x14ac:dyDescent="0.45">
      <c r="A13" s="209"/>
      <c r="B13" s="210"/>
      <c r="C13" s="85" t="s">
        <v>36</v>
      </c>
      <c r="D13" s="86" t="s">
        <v>37</v>
      </c>
      <c r="E13" s="86" t="s">
        <v>36</v>
      </c>
      <c r="F13" s="87" t="s">
        <v>37</v>
      </c>
      <c r="G13" s="85" t="s">
        <v>36</v>
      </c>
      <c r="H13" s="86" t="s">
        <v>37</v>
      </c>
      <c r="I13" s="86" t="s">
        <v>36</v>
      </c>
      <c r="J13" s="87" t="s">
        <v>37</v>
      </c>
      <c r="O13" s="2">
        <v>7</v>
      </c>
      <c r="P13" s="84" t="s">
        <v>73</v>
      </c>
    </row>
    <row r="14" spans="1:16" ht="18" customHeight="1" x14ac:dyDescent="0.4">
      <c r="A14" s="215" t="s">
        <v>74</v>
      </c>
      <c r="B14" s="216"/>
      <c r="C14" s="105" t="s">
        <v>75</v>
      </c>
      <c r="D14" s="106" t="s">
        <v>75</v>
      </c>
      <c r="E14" s="106" t="s">
        <v>75</v>
      </c>
      <c r="F14" s="107" t="s">
        <v>75</v>
      </c>
      <c r="G14" s="105" t="s">
        <v>75</v>
      </c>
      <c r="H14" s="106" t="s">
        <v>75</v>
      </c>
      <c r="I14" s="106" t="s">
        <v>75</v>
      </c>
      <c r="J14" s="107" t="s">
        <v>75</v>
      </c>
      <c r="O14" s="2">
        <v>8</v>
      </c>
      <c r="P14" s="84" t="s">
        <v>76</v>
      </c>
    </row>
    <row r="15" spans="1:16" ht="18" customHeight="1" x14ac:dyDescent="0.4">
      <c r="A15" s="215" t="s">
        <v>77</v>
      </c>
      <c r="B15" s="216"/>
      <c r="C15" s="108" t="s">
        <v>75</v>
      </c>
      <c r="D15" s="109" t="s">
        <v>75</v>
      </c>
      <c r="E15" s="109" t="s">
        <v>75</v>
      </c>
      <c r="F15" s="110" t="s">
        <v>75</v>
      </c>
      <c r="G15" s="108" t="s">
        <v>75</v>
      </c>
      <c r="H15" s="109" t="s">
        <v>75</v>
      </c>
      <c r="I15" s="109" t="s">
        <v>75</v>
      </c>
      <c r="J15" s="110" t="s">
        <v>75</v>
      </c>
      <c r="O15" s="2">
        <v>9</v>
      </c>
      <c r="P15" s="84" t="s">
        <v>78</v>
      </c>
    </row>
    <row r="16" spans="1:16" ht="18" customHeight="1" x14ac:dyDescent="0.4">
      <c r="A16" s="215" t="s">
        <v>79</v>
      </c>
      <c r="B16" s="216"/>
      <c r="C16" s="108">
        <v>1.3879999999999999</v>
      </c>
      <c r="D16" s="111" t="s">
        <v>40</v>
      </c>
      <c r="E16" s="109">
        <v>0.126</v>
      </c>
      <c r="F16" s="99" t="s">
        <v>80</v>
      </c>
      <c r="G16" s="108">
        <v>0.28100000000000003</v>
      </c>
      <c r="H16" s="96" t="s">
        <v>81</v>
      </c>
      <c r="I16" s="109" t="s">
        <v>75</v>
      </c>
      <c r="J16" s="110" t="s">
        <v>75</v>
      </c>
      <c r="O16" s="2">
        <v>10</v>
      </c>
      <c r="P16" s="84" t="s">
        <v>82</v>
      </c>
    </row>
    <row r="17" spans="1:16" ht="18" customHeight="1" x14ac:dyDescent="0.4">
      <c r="A17" s="215" t="s">
        <v>83</v>
      </c>
      <c r="B17" s="216"/>
      <c r="C17" s="108" t="s">
        <v>75</v>
      </c>
      <c r="D17" s="109" t="s">
        <v>75</v>
      </c>
      <c r="E17" s="109" t="s">
        <v>75</v>
      </c>
      <c r="F17" s="110" t="s">
        <v>75</v>
      </c>
      <c r="G17" s="108">
        <v>0.115</v>
      </c>
      <c r="H17" s="111">
        <v>0.83</v>
      </c>
      <c r="I17" s="109" t="s">
        <v>75</v>
      </c>
      <c r="J17" s="110" t="s">
        <v>75</v>
      </c>
      <c r="O17" s="2">
        <v>11</v>
      </c>
      <c r="P17" s="84" t="s">
        <v>84</v>
      </c>
    </row>
    <row r="18" spans="1:16" ht="18" customHeight="1" x14ac:dyDescent="0.4">
      <c r="A18" s="215" t="s">
        <v>85</v>
      </c>
      <c r="B18" s="216"/>
      <c r="C18" s="108">
        <v>1.244</v>
      </c>
      <c r="D18" s="111" t="s">
        <v>40</v>
      </c>
      <c r="E18" s="109">
        <v>4.2000000000000003E-2</v>
      </c>
      <c r="F18" s="99">
        <v>0.86</v>
      </c>
      <c r="G18" s="108" t="s">
        <v>75</v>
      </c>
      <c r="H18" s="109" t="s">
        <v>75</v>
      </c>
      <c r="I18" s="109">
        <v>0.434</v>
      </c>
      <c r="J18" s="99">
        <v>0.95</v>
      </c>
      <c r="O18" s="2">
        <v>12</v>
      </c>
      <c r="P18" s="84" t="s">
        <v>86</v>
      </c>
    </row>
    <row r="19" spans="1:16" ht="18" customHeight="1" thickBot="1" x14ac:dyDescent="0.45">
      <c r="A19" s="209" t="s">
        <v>87</v>
      </c>
      <c r="B19" s="210"/>
      <c r="C19" s="112">
        <v>0.29299999999999998</v>
      </c>
      <c r="D19" s="113" t="s">
        <v>40</v>
      </c>
      <c r="E19" s="114" t="s">
        <v>75</v>
      </c>
      <c r="F19" s="115" t="s">
        <v>75</v>
      </c>
      <c r="G19" s="112">
        <v>0.29599999999999999</v>
      </c>
      <c r="H19" s="113">
        <v>0.76</v>
      </c>
      <c r="I19" s="114" t="s">
        <v>75</v>
      </c>
      <c r="J19" s="115" t="s">
        <v>88</v>
      </c>
      <c r="O19" s="2">
        <v>13</v>
      </c>
      <c r="P19" s="84" t="s">
        <v>89</v>
      </c>
    </row>
    <row r="20" spans="1:16" ht="18" customHeight="1" x14ac:dyDescent="0.4">
      <c r="O20" s="2">
        <v>14</v>
      </c>
      <c r="P20" s="84" t="s">
        <v>90</v>
      </c>
    </row>
    <row r="21" spans="1:16" ht="18" customHeight="1" x14ac:dyDescent="0.4">
      <c r="O21" s="2">
        <v>15</v>
      </c>
      <c r="P21" s="84" t="s">
        <v>91</v>
      </c>
    </row>
    <row r="22" spans="1:16" ht="18" customHeight="1" x14ac:dyDescent="0.4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O22" s="2">
        <v>16</v>
      </c>
      <c r="P22" s="84" t="s">
        <v>92</v>
      </c>
    </row>
    <row r="23" spans="1:16" ht="18" customHeight="1" x14ac:dyDescent="0.4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O23" s="2">
        <v>17</v>
      </c>
      <c r="P23" s="84" t="s">
        <v>93</v>
      </c>
    </row>
    <row r="24" spans="1:16" ht="18" customHeight="1" x14ac:dyDescent="0.4">
      <c r="M24" s="116"/>
      <c r="O24" s="2">
        <v>18</v>
      </c>
      <c r="P24" s="84" t="s">
        <v>94</v>
      </c>
    </row>
    <row r="25" spans="1:16" ht="18" customHeight="1" x14ac:dyDescent="0.4">
      <c r="M25" s="116"/>
      <c r="O25" s="2">
        <v>19</v>
      </c>
      <c r="P25" s="84" t="s">
        <v>95</v>
      </c>
    </row>
    <row r="26" spans="1:16" ht="18" customHeight="1" x14ac:dyDescent="0.4">
      <c r="M26" s="116"/>
      <c r="O26" s="2">
        <v>20</v>
      </c>
      <c r="P26" s="84" t="s">
        <v>96</v>
      </c>
    </row>
    <row r="27" spans="1:16" ht="18" customHeight="1" x14ac:dyDescent="0.4">
      <c r="M27" s="116"/>
      <c r="O27" s="2">
        <v>21</v>
      </c>
      <c r="P27" s="84" t="s">
        <v>97</v>
      </c>
    </row>
    <row r="28" spans="1:16" ht="18" customHeight="1" x14ac:dyDescent="0.4">
      <c r="M28" s="116"/>
      <c r="O28" s="2">
        <v>22</v>
      </c>
      <c r="P28" s="84" t="s">
        <v>98</v>
      </c>
    </row>
    <row r="29" spans="1:16" ht="18" customHeight="1" x14ac:dyDescent="0.4">
      <c r="M29" s="116"/>
      <c r="O29" s="2">
        <v>23</v>
      </c>
      <c r="P29" s="84" t="s">
        <v>99</v>
      </c>
    </row>
    <row r="30" spans="1:16" ht="18" customHeight="1" x14ac:dyDescent="0.4">
      <c r="M30" s="116"/>
      <c r="O30" s="2">
        <v>24</v>
      </c>
      <c r="P30" s="84" t="s">
        <v>100</v>
      </c>
    </row>
    <row r="31" spans="1:16" ht="18" customHeight="1" x14ac:dyDescent="0.4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O31" s="2">
        <v>25</v>
      </c>
      <c r="P31" s="84" t="s">
        <v>101</v>
      </c>
    </row>
    <row r="32" spans="1:16" ht="18" customHeight="1" x14ac:dyDescent="0.4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O32" s="2">
        <v>26</v>
      </c>
      <c r="P32" s="84" t="s">
        <v>102</v>
      </c>
    </row>
    <row r="33" spans="1:16" ht="18" customHeight="1" x14ac:dyDescent="0.4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O33" s="2">
        <v>27</v>
      </c>
      <c r="P33" s="84" t="s">
        <v>103</v>
      </c>
    </row>
    <row r="34" spans="1:16" ht="18" customHeight="1" x14ac:dyDescent="0.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O34" s="2">
        <v>28</v>
      </c>
      <c r="P34" s="84" t="s">
        <v>104</v>
      </c>
    </row>
    <row r="35" spans="1:16" ht="18" customHeight="1" x14ac:dyDescent="0.4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O35" s="2">
        <v>29</v>
      </c>
      <c r="P35" s="84" t="s">
        <v>105</v>
      </c>
    </row>
    <row r="36" spans="1:16" ht="18" customHeight="1" x14ac:dyDescent="0.4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O36" s="2">
        <v>30</v>
      </c>
      <c r="P36" s="84" t="s">
        <v>106</v>
      </c>
    </row>
    <row r="37" spans="1:16" ht="18" customHeight="1" x14ac:dyDescent="0.4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O37" s="2">
        <v>31</v>
      </c>
      <c r="P37" s="84" t="s">
        <v>107</v>
      </c>
    </row>
    <row r="38" spans="1:16" ht="18" customHeight="1" x14ac:dyDescent="0.4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O38" s="2">
        <v>32</v>
      </c>
      <c r="P38" s="84" t="s">
        <v>108</v>
      </c>
    </row>
    <row r="39" spans="1:16" ht="18" customHeight="1" x14ac:dyDescent="0.4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O39" s="2">
        <v>33</v>
      </c>
      <c r="P39" s="84" t="s">
        <v>109</v>
      </c>
    </row>
    <row r="40" spans="1:16" ht="18" customHeight="1" x14ac:dyDescent="0.4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O40" s="2">
        <v>34</v>
      </c>
      <c r="P40" s="84" t="s">
        <v>110</v>
      </c>
    </row>
    <row r="41" spans="1:16" ht="18" customHeight="1" x14ac:dyDescent="0.4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O41" s="2">
        <v>35</v>
      </c>
      <c r="P41" s="84" t="s">
        <v>111</v>
      </c>
    </row>
    <row r="42" spans="1:16" ht="18" customHeight="1" x14ac:dyDescent="0.4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O42" s="2">
        <v>36</v>
      </c>
      <c r="P42" s="84" t="s">
        <v>112</v>
      </c>
    </row>
    <row r="43" spans="1:16" ht="18" customHeight="1" x14ac:dyDescent="0.4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O43" s="2">
        <v>37</v>
      </c>
      <c r="P43" s="84" t="s">
        <v>113</v>
      </c>
    </row>
    <row r="44" spans="1:16" ht="18" customHeight="1" x14ac:dyDescent="0.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O44" s="2">
        <v>38</v>
      </c>
      <c r="P44" s="84" t="s">
        <v>114</v>
      </c>
    </row>
    <row r="45" spans="1:16" ht="18" customHeight="1" x14ac:dyDescent="0.4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O45" s="2">
        <v>39</v>
      </c>
      <c r="P45" s="84" t="s">
        <v>115</v>
      </c>
    </row>
    <row r="46" spans="1:16" ht="18" customHeight="1" x14ac:dyDescent="0.4">
      <c r="O46" s="2">
        <v>40</v>
      </c>
      <c r="P46" s="84" t="s">
        <v>116</v>
      </c>
    </row>
    <row r="47" spans="1:16" ht="18" customHeight="1" x14ac:dyDescent="0.4">
      <c r="O47" s="2">
        <v>41</v>
      </c>
      <c r="P47" s="84" t="s">
        <v>117</v>
      </c>
    </row>
    <row r="48" spans="1:16" ht="18" customHeight="1" x14ac:dyDescent="0.4">
      <c r="O48" s="2">
        <v>42</v>
      </c>
      <c r="P48" s="84" t="s">
        <v>118</v>
      </c>
    </row>
    <row r="49" spans="15:16" ht="18" customHeight="1" x14ac:dyDescent="0.4">
      <c r="O49" s="2">
        <v>43</v>
      </c>
      <c r="P49" s="84" t="s">
        <v>119</v>
      </c>
    </row>
    <row r="50" spans="15:16" ht="18" customHeight="1" x14ac:dyDescent="0.4">
      <c r="O50" s="2">
        <v>44</v>
      </c>
      <c r="P50" s="84" t="s">
        <v>120</v>
      </c>
    </row>
    <row r="51" spans="15:16" ht="18" customHeight="1" x14ac:dyDescent="0.4">
      <c r="O51" s="2">
        <v>45</v>
      </c>
      <c r="P51" s="84" t="s">
        <v>121</v>
      </c>
    </row>
    <row r="52" spans="15:16" ht="18" customHeight="1" x14ac:dyDescent="0.4">
      <c r="O52" s="2">
        <v>46</v>
      </c>
      <c r="P52" s="84" t="s">
        <v>122</v>
      </c>
    </row>
    <row r="53" spans="15:16" ht="18" customHeight="1" x14ac:dyDescent="0.4">
      <c r="O53" s="2">
        <v>47</v>
      </c>
      <c r="P53" s="84" t="s">
        <v>123</v>
      </c>
    </row>
    <row r="54" spans="15:16" ht="18" customHeight="1" x14ac:dyDescent="0.4">
      <c r="O54" s="2">
        <v>48</v>
      </c>
      <c r="P54" s="84" t="s">
        <v>124</v>
      </c>
    </row>
    <row r="55" spans="15:16" ht="18" customHeight="1" x14ac:dyDescent="0.4">
      <c r="O55" s="2">
        <v>49</v>
      </c>
      <c r="P55" s="84" t="s">
        <v>125</v>
      </c>
    </row>
    <row r="56" spans="15:16" ht="18" customHeight="1" x14ac:dyDescent="0.4">
      <c r="O56" s="2">
        <v>50</v>
      </c>
      <c r="P56" s="84" t="s">
        <v>126</v>
      </c>
    </row>
    <row r="57" spans="15:16" ht="18" customHeight="1" x14ac:dyDescent="0.4">
      <c r="O57" s="2">
        <v>51</v>
      </c>
      <c r="P57" s="84" t="s">
        <v>127</v>
      </c>
    </row>
    <row r="58" spans="15:16" ht="18" customHeight="1" x14ac:dyDescent="0.4">
      <c r="O58" s="2">
        <v>52</v>
      </c>
      <c r="P58" s="84" t="s">
        <v>128</v>
      </c>
    </row>
    <row r="59" spans="15:16" ht="18" customHeight="1" x14ac:dyDescent="0.4">
      <c r="O59" s="2">
        <v>53</v>
      </c>
      <c r="P59" s="84" t="s">
        <v>129</v>
      </c>
    </row>
    <row r="60" spans="15:16" ht="18" customHeight="1" x14ac:dyDescent="0.4">
      <c r="O60" s="2">
        <v>54</v>
      </c>
      <c r="P60" s="84" t="s">
        <v>130</v>
      </c>
    </row>
    <row r="61" spans="15:16" ht="18" customHeight="1" x14ac:dyDescent="0.4">
      <c r="O61" s="2">
        <v>55</v>
      </c>
      <c r="P61" s="84" t="s">
        <v>131</v>
      </c>
    </row>
    <row r="62" spans="15:16" ht="18" customHeight="1" x14ac:dyDescent="0.4">
      <c r="O62" s="2">
        <v>56</v>
      </c>
      <c r="P62" s="84" t="s">
        <v>125</v>
      </c>
    </row>
    <row r="63" spans="15:16" ht="18" customHeight="1" x14ac:dyDescent="0.4">
      <c r="O63" s="2">
        <v>57</v>
      </c>
      <c r="P63" s="84" t="s">
        <v>126</v>
      </c>
    </row>
    <row r="64" spans="15:16" ht="18" customHeight="1" x14ac:dyDescent="0.4">
      <c r="O64" s="2">
        <v>58</v>
      </c>
      <c r="P64" s="84" t="s">
        <v>127</v>
      </c>
    </row>
    <row r="65" spans="15:16" ht="18" customHeight="1" x14ac:dyDescent="0.4">
      <c r="O65" s="2">
        <v>59</v>
      </c>
      <c r="P65" s="84" t="s">
        <v>128</v>
      </c>
    </row>
    <row r="66" spans="15:16" ht="18" customHeight="1" x14ac:dyDescent="0.4">
      <c r="O66" s="2">
        <v>60</v>
      </c>
      <c r="P66" s="84" t="s">
        <v>129</v>
      </c>
    </row>
    <row r="67" spans="15:16" ht="18" customHeight="1" x14ac:dyDescent="0.4">
      <c r="O67" s="2">
        <v>61</v>
      </c>
      <c r="P67" s="84" t="s">
        <v>130</v>
      </c>
    </row>
    <row r="68" spans="15:16" ht="18" customHeight="1" x14ac:dyDescent="0.4">
      <c r="O68" s="2">
        <v>62</v>
      </c>
      <c r="P68" s="84" t="s">
        <v>131</v>
      </c>
    </row>
    <row r="69" spans="15:16" ht="18" customHeight="1" x14ac:dyDescent="0.4">
      <c r="O69" s="2">
        <v>63</v>
      </c>
      <c r="P69" s="84" t="s">
        <v>132</v>
      </c>
    </row>
    <row r="70" spans="15:16" ht="18" customHeight="1" thickBot="1" x14ac:dyDescent="0.45">
      <c r="O70" s="3">
        <v>64</v>
      </c>
      <c r="P70" s="117" t="s">
        <v>133</v>
      </c>
    </row>
  </sheetData>
  <mergeCells count="25">
    <mergeCell ref="A19:B19"/>
    <mergeCell ref="L4:M4"/>
    <mergeCell ref="A10:J10"/>
    <mergeCell ref="A11:B13"/>
    <mergeCell ref="C11:F11"/>
    <mergeCell ref="G11:J11"/>
    <mergeCell ref="C12:D12"/>
    <mergeCell ref="E12:F12"/>
    <mergeCell ref="G12:H12"/>
    <mergeCell ref="I12:J12"/>
    <mergeCell ref="A14:B14"/>
    <mergeCell ref="A15:B15"/>
    <mergeCell ref="A16:B16"/>
    <mergeCell ref="A17:B17"/>
    <mergeCell ref="A18:B18"/>
    <mergeCell ref="A1:M1"/>
    <mergeCell ref="A2:M2"/>
    <mergeCell ref="A3:A5"/>
    <mergeCell ref="B3:G3"/>
    <mergeCell ref="H3:M3"/>
    <mergeCell ref="B4:C4"/>
    <mergeCell ref="D4:E4"/>
    <mergeCell ref="F4:G4"/>
    <mergeCell ref="H4:I4"/>
    <mergeCell ref="J4:K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BEHAVIOR</vt:lpstr>
      <vt:lpstr>SIGNAL CHANGE</vt:lpstr>
      <vt:lpstr>PEB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C318</dc:creator>
  <cp:lastModifiedBy>Sun Dexin</cp:lastModifiedBy>
  <dcterms:created xsi:type="dcterms:W3CDTF">2015-06-05T18:19:34Z</dcterms:created>
  <dcterms:modified xsi:type="dcterms:W3CDTF">2024-11-13T12:53:53Z</dcterms:modified>
</cp:coreProperties>
</file>